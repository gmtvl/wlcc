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8acccd2e8f0e4c/Desktop/November 2025/"/>
    </mc:Choice>
  </mc:AlternateContent>
  <xr:revisionPtr revIDLastSave="14" documentId="8_{0BBD1321-8586-E043-A2CD-F960A0B244A7}" xr6:coauthVersionLast="47" xr6:coauthVersionMax="47" xr10:uidLastSave="{940EB8DF-371C-4994-A45C-020BF38199A0}"/>
  <bookViews>
    <workbookView xWindow="-110" yWindow="-110" windowWidth="19420" windowHeight="10300" firstSheet="1" activeTab="2" xr2:uid="{00000000-000D-0000-FFFF-FFFF00000000}"/>
  </bookViews>
  <sheets>
    <sheet name="NOVEMBER 2025 Bill Summary" sheetId="8" r:id="rId1"/>
    <sheet name="Bill Calculation NOVEMBER 2025" sheetId="6" r:id="rId2"/>
    <sheet name="NOVEMBER 2025 IBD Data" sheetId="4" r:id="rId3"/>
    <sheet name="NOVEMBER 2025 OBD  Data" sheetId="7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7" l="1"/>
  <c r="F14" i="7"/>
  <c r="G14" i="7"/>
  <c r="E15" i="7"/>
  <c r="F15" i="7"/>
  <c r="G15" i="7"/>
  <c r="E16" i="7"/>
  <c r="F16" i="7"/>
  <c r="G16" i="7"/>
  <c r="E17" i="7"/>
  <c r="F17" i="7"/>
  <c r="G17" i="7"/>
  <c r="E18" i="7"/>
  <c r="F18" i="7"/>
  <c r="G18" i="7"/>
  <c r="E19" i="7"/>
  <c r="F19" i="7"/>
  <c r="G19" i="7"/>
  <c r="E20" i="7"/>
  <c r="F20" i="7"/>
  <c r="G20" i="7"/>
  <c r="E21" i="7"/>
  <c r="F21" i="7"/>
  <c r="G21" i="7"/>
  <c r="E22" i="7"/>
  <c r="F22" i="7"/>
  <c r="G22" i="7"/>
  <c r="E23" i="7"/>
  <c r="F23" i="7"/>
  <c r="G23" i="7"/>
  <c r="E24" i="7"/>
  <c r="F24" i="7"/>
  <c r="G24" i="7"/>
  <c r="E25" i="7"/>
  <c r="F25" i="7"/>
  <c r="G25" i="7"/>
  <c r="E26" i="7"/>
  <c r="F26" i="7"/>
  <c r="G26" i="7"/>
  <c r="E27" i="7"/>
  <c r="F27" i="7"/>
  <c r="G27" i="7"/>
  <c r="E28" i="7"/>
  <c r="F28" i="7"/>
  <c r="G28" i="7"/>
  <c r="E29" i="7"/>
  <c r="F29" i="7"/>
  <c r="G29" i="7"/>
  <c r="E30" i="7"/>
  <c r="F30" i="7"/>
  <c r="G30" i="7"/>
  <c r="E31" i="7"/>
  <c r="F31" i="7"/>
  <c r="G31" i="7"/>
  <c r="E32" i="7"/>
  <c r="F32" i="7"/>
  <c r="G32" i="7"/>
  <c r="E33" i="7"/>
  <c r="F33" i="7"/>
  <c r="G33" i="7"/>
  <c r="E34" i="7"/>
  <c r="F34" i="7"/>
  <c r="G34" i="7"/>
  <c r="D338" i="4"/>
  <c r="D180" i="4"/>
  <c r="D36" i="7"/>
  <c r="E12" i="7"/>
  <c r="F12" i="7"/>
  <c r="G12" i="7"/>
  <c r="E13" i="7"/>
  <c r="F13" i="7"/>
  <c r="G13" i="7"/>
  <c r="E5" i="7"/>
  <c r="E6" i="7"/>
  <c r="E7" i="7"/>
  <c r="E8" i="7"/>
  <c r="E9" i="7"/>
  <c r="E10" i="7"/>
  <c r="E11" i="7"/>
  <c r="E36" i="7"/>
  <c r="D37" i="4"/>
  <c r="E37" i="4"/>
  <c r="F37" i="4"/>
  <c r="F5" i="7"/>
  <c r="F6" i="7"/>
  <c r="G6" i="7"/>
  <c r="F7" i="7"/>
  <c r="G7" i="7"/>
  <c r="F8" i="7"/>
  <c r="G8" i="7"/>
  <c r="F9" i="7"/>
  <c r="G9" i="7"/>
  <c r="F10" i="7"/>
  <c r="G10" i="7"/>
  <c r="F11" i="7"/>
  <c r="G11" i="7"/>
  <c r="G5" i="7"/>
  <c r="F36" i="7"/>
  <c r="F385" i="4"/>
  <c r="E22" i="6"/>
  <c r="D107" i="4"/>
  <c r="E107" i="4"/>
  <c r="F107" i="4"/>
  <c r="D72" i="4"/>
  <c r="E72" i="4"/>
  <c r="F72" i="4"/>
  <c r="D145" i="4"/>
  <c r="E145" i="4"/>
  <c r="F145" i="4"/>
  <c r="C37" i="4"/>
  <c r="F311" i="4"/>
  <c r="B318" i="4"/>
  <c r="C317" i="4"/>
  <c r="C316" i="4"/>
  <c r="D311" i="4"/>
  <c r="E311" i="4"/>
  <c r="C311" i="4"/>
  <c r="C258" i="4"/>
  <c r="C223" i="4"/>
  <c r="C180" i="4"/>
  <c r="C145" i="4"/>
  <c r="C107" i="4"/>
  <c r="C72" i="4"/>
  <c r="G374" i="4"/>
  <c r="G19" i="6"/>
  <c r="G107" i="7"/>
  <c r="F14" i="6"/>
  <c r="G71" i="7"/>
  <c r="E14" i="6"/>
  <c r="E16" i="6"/>
  <c r="G36" i="7"/>
  <c r="D14" i="6"/>
  <c r="D16" i="6"/>
  <c r="F318" i="4"/>
  <c r="G318" i="4"/>
  <c r="G316" i="4"/>
  <c r="G317" i="4"/>
  <c r="C318" i="4"/>
  <c r="F384" i="4"/>
  <c r="G29" i="6"/>
  <c r="F380" i="4"/>
  <c r="G20" i="6" s="1"/>
  <c r="G21" i="6" s="1"/>
  <c r="F386" i="4"/>
  <c r="F22" i="6"/>
  <c r="D22" i="6"/>
  <c r="F391" i="4"/>
  <c r="F396" i="4"/>
  <c r="G26" i="6"/>
  <c r="G37" i="4"/>
  <c r="C3" i="6"/>
  <c r="C9" i="6"/>
  <c r="G311" i="4"/>
  <c r="F5" i="6"/>
  <c r="G276" i="4"/>
  <c r="F4" i="6"/>
  <c r="G271" i="4"/>
  <c r="F3" i="6"/>
  <c r="G263" i="4"/>
  <c r="E5" i="6"/>
  <c r="G258" i="4"/>
  <c r="E4" i="6"/>
  <c r="G223" i="4"/>
  <c r="E3" i="6"/>
  <c r="G185" i="4"/>
  <c r="D5" i="6"/>
  <c r="G180" i="4"/>
  <c r="D4" i="6"/>
  <c r="G145" i="4"/>
  <c r="D3" i="6"/>
  <c r="G107" i="4"/>
  <c r="C5" i="6"/>
  <c r="G72" i="4"/>
  <c r="C4" i="6"/>
  <c r="D9" i="6"/>
  <c r="D10" i="6"/>
  <c r="D6" i="6"/>
  <c r="D8" i="6"/>
  <c r="K4" i="6"/>
  <c r="F16" i="6"/>
  <c r="G16" i="6"/>
  <c r="K7" i="6"/>
  <c r="G14" i="6"/>
  <c r="C6" i="6"/>
  <c r="C11" i="6"/>
  <c r="C10" i="6"/>
  <c r="E9" i="6"/>
  <c r="E10" i="6"/>
  <c r="E6" i="6"/>
  <c r="E8" i="6"/>
  <c r="K5" i="6"/>
  <c r="F6" i="6"/>
  <c r="F8" i="6"/>
  <c r="K6" i="6"/>
  <c r="F9" i="6"/>
  <c r="F10" i="6"/>
  <c r="C12" i="6"/>
  <c r="C8" i="6"/>
  <c r="K3" i="6"/>
  <c r="E11" i="6"/>
  <c r="E12" i="6"/>
  <c r="F11" i="6"/>
  <c r="F12" i="6"/>
  <c r="D11" i="6"/>
  <c r="D12" i="6"/>
  <c r="F23" i="6"/>
  <c r="E23" i="6"/>
  <c r="D23" i="6"/>
  <c r="G8" i="6"/>
  <c r="C13" i="6"/>
  <c r="E13" i="6"/>
  <c r="F13" i="6"/>
  <c r="G12" i="6"/>
  <c r="D13" i="6"/>
  <c r="G23" i="6"/>
  <c r="G13" i="6"/>
  <c r="G17" i="6"/>
  <c r="G27" i="6"/>
  <c r="G33" i="6"/>
  <c r="G25" i="6"/>
  <c r="B3" i="8"/>
  <c r="G32" i="6"/>
  <c r="B5" i="8"/>
  <c r="B6" i="8"/>
  <c r="B7" i="8"/>
  <c r="B8" i="8"/>
  <c r="B9" i="8"/>
  <c r="G30" i="6" l="1"/>
  <c r="G31" i="6" s="1"/>
</calcChain>
</file>

<file path=xl/sharedStrings.xml><?xml version="1.0" encoding="utf-8"?>
<sst xmlns="http://schemas.openxmlformats.org/spreadsheetml/2006/main" count="320" uniqueCount="131">
  <si>
    <t>IVR</t>
  </si>
  <si>
    <t>Agent Seg 1</t>
  </si>
  <si>
    <t>Agent Seg 2</t>
  </si>
  <si>
    <t>Agent Seg 3</t>
  </si>
  <si>
    <t>Total</t>
  </si>
  <si>
    <t>IVRS</t>
  </si>
  <si>
    <t>CallDate</t>
  </si>
  <si>
    <t>Call Count</t>
  </si>
  <si>
    <t>Average Call Duaration (S)</t>
  </si>
  <si>
    <t>Total Duration (S)</t>
  </si>
  <si>
    <t>120 * Call Count (S)</t>
  </si>
  <si>
    <t>Max allowed daily average duration per call in Seconds</t>
  </si>
  <si>
    <t>Unit (S)</t>
  </si>
  <si>
    <t>Unit (Minutes)</t>
  </si>
  <si>
    <t>Repeat Applicable</t>
  </si>
  <si>
    <t>Repeat Not Applicable</t>
  </si>
  <si>
    <t>Agent - Segment 1</t>
  </si>
  <si>
    <t>Agent - Segment 2</t>
  </si>
  <si>
    <t>Agent - Segment 3</t>
  </si>
  <si>
    <t>130 * Call Count (S)</t>
  </si>
  <si>
    <t>150 * Call Count (S)</t>
  </si>
  <si>
    <t>180 * Call Count (S)</t>
  </si>
  <si>
    <t>Item</t>
  </si>
  <si>
    <t>Penalty</t>
  </si>
  <si>
    <t>% Calls attended</t>
  </si>
  <si>
    <t>Average Satisfaction Score</t>
  </si>
  <si>
    <t>Calls unanswered by agents (should &lt; 5%)</t>
  </si>
  <si>
    <t>Score on Call quality (should &gt;85%)</t>
  </si>
  <si>
    <t>Segment</t>
  </si>
  <si>
    <t>Total Calls in TCBH (Count)</t>
  </si>
  <si>
    <t>%</t>
  </si>
  <si>
    <t>Remarks</t>
  </si>
  <si>
    <t>Times of Attempted Call @TCBH as per MSC Log</t>
  </si>
  <si>
    <t>Times of Answered Call @TCBH as per MSC Log</t>
  </si>
  <si>
    <t>With in KPI</t>
  </si>
  <si>
    <t>System Uptime (should be &gt; 99.7%)</t>
  </si>
  <si>
    <t>Accessibility @TCBH (should be &gt; 95%)</t>
  </si>
  <si>
    <t>Unique Calls (Minutes) A</t>
  </si>
  <si>
    <t>Repeat Calls (Minutes) B</t>
  </si>
  <si>
    <t>Repeat Non applicable Calls (Minutes) C</t>
  </si>
  <si>
    <t>Actual Bill (Minutes) D</t>
  </si>
  <si>
    <t>Per Minute Charge E</t>
  </si>
  <si>
    <t>Actual Bill (Rs) F</t>
  </si>
  <si>
    <t>15 % of Unique Calls G</t>
  </si>
  <si>
    <t>Whether (B &gt; G)  H</t>
  </si>
  <si>
    <t>Net Amount after deducting Repeat Calls (Rs)  J</t>
  </si>
  <si>
    <t>J=I*E</t>
  </si>
  <si>
    <t>Repeat Call KPI Deduction(Rs) K</t>
  </si>
  <si>
    <t>IVR Count</t>
  </si>
  <si>
    <t>Total Count</t>
  </si>
  <si>
    <t>IVR Efficiency (%)</t>
  </si>
  <si>
    <t>Abandoned Calls Count</t>
  </si>
  <si>
    <t>Call abandonment (%)</t>
  </si>
  <si>
    <t>OBD</t>
  </si>
  <si>
    <t>Per Minute Charge (Rs) M</t>
  </si>
  <si>
    <t>Amount (Rs.)</t>
  </si>
  <si>
    <t>Grand Total</t>
  </si>
  <si>
    <t>Total monthly bill amount</t>
  </si>
  <si>
    <t>Final Bill amount</t>
  </si>
  <si>
    <t>Total Penalties applied (20% capping applied)</t>
  </si>
  <si>
    <t>N=L*M</t>
  </si>
  <si>
    <t>OBD Call Centre CDR</t>
  </si>
  <si>
    <t>&gt;=2 :0% , 1.1to&lt; 2 :3% , &lt; 1.1 :5%</t>
  </si>
  <si>
    <t>&gt;85 :0%, &gt;80to85 :2%, 75to80 :5%, &lt;75 :10%</t>
  </si>
  <si>
    <t>Connect minutes L</t>
  </si>
  <si>
    <t>Yes</t>
  </si>
  <si>
    <t>No</t>
  </si>
  <si>
    <t>Sl No</t>
  </si>
  <si>
    <t>Date</t>
  </si>
  <si>
    <t>Previous Month Call Count</t>
  </si>
  <si>
    <t>Billed Month</t>
  </si>
  <si>
    <t>Sunday</t>
  </si>
  <si>
    <t>Holiday</t>
  </si>
  <si>
    <t>Average</t>
  </si>
  <si>
    <t>K=F-J</t>
  </si>
  <si>
    <t>D=A+B+C</t>
  </si>
  <si>
    <t>F=D*E</t>
  </si>
  <si>
    <t>G=A*0.15</t>
  </si>
  <si>
    <t>O=J+N</t>
  </si>
  <si>
    <t xml:space="preserve">130 % of Previous Month(Excluding Sundays &amp; Holidays) Daily Average Call Count </t>
  </si>
  <si>
    <t>Daily Average Call Count Excluding Sundays &amp; Holidays</t>
  </si>
  <si>
    <t>Agent Calls Tagging %</t>
  </si>
  <si>
    <t>Tagged</t>
  </si>
  <si>
    <t>Count</t>
  </si>
  <si>
    <t>Accesibility as per MSC Log</t>
  </si>
  <si>
    <t>IVR Calls Tagging %</t>
  </si>
  <si>
    <t>SGST @9%</t>
  </si>
  <si>
    <t>CGST @9%</t>
  </si>
  <si>
    <t>Total GST</t>
  </si>
  <si>
    <t>1. First Calls Day-wise</t>
  </si>
  <si>
    <t>2. Repeated Calls Day-wise</t>
  </si>
  <si>
    <t>Excluded Dates from SLA calculation</t>
  </si>
  <si>
    <t>Call Centre Accessibility SLA</t>
  </si>
  <si>
    <t>Call Queue Waiting SLA</t>
  </si>
  <si>
    <t>Call Abandonment SLA</t>
  </si>
  <si>
    <t>IVR Efficiency KPI</t>
  </si>
  <si>
    <t>Net Connect Minutes after deducting Repeat Calls (Rs)  I</t>
  </si>
  <si>
    <t>Net Amount (Rs) N</t>
  </si>
  <si>
    <t>Total Bill amount (Rs) O</t>
  </si>
  <si>
    <t>Segment 1</t>
  </si>
  <si>
    <t>Segment 2</t>
  </si>
  <si>
    <t>&gt;=99.7% :0%, 98.7to&lt;99.7 :1%, 97to&lt;98.7% :3%, 95to&lt;97% :5%, 90to&lt;95% :10%, &lt;90 :15%</t>
  </si>
  <si>
    <t>&gt;=95% :0% , 90to&lt;95% :5% ,  85to&lt;90% :10% , &lt;85 :15%</t>
  </si>
  <si>
    <t>Penalty (Rs) P</t>
  </si>
  <si>
    <t>Penalty (Rs) Q</t>
  </si>
  <si>
    <t>Penalty (Rs) R</t>
  </si>
  <si>
    <t>Penalty (Rs) S</t>
  </si>
  <si>
    <t>Penalty (Rs) T</t>
  </si>
  <si>
    <t>Penalty (Rs) U</t>
  </si>
  <si>
    <t>Total Penalty Amount Calculated (Rs) V</t>
  </si>
  <si>
    <t>V=P+Q+R+S+T+U</t>
  </si>
  <si>
    <t>% with respect to Total Bill amount W</t>
  </si>
  <si>
    <t>20% of Total Bill Amount (Rs) X</t>
  </si>
  <si>
    <t>W=V/O</t>
  </si>
  <si>
    <t>X=O*0.2</t>
  </si>
  <si>
    <t>IBD</t>
  </si>
  <si>
    <t>Segment 3</t>
  </si>
  <si>
    <t xml:space="preserve">If H is Yes, 
I=(A*1.15) + C
Else I=D
</t>
  </si>
  <si>
    <t>Total Amount excluding Penalties (Rs) Y</t>
  </si>
  <si>
    <t xml:space="preserve"> </t>
  </si>
  <si>
    <t>&gt;=95% :0%, 85to&lt;95% :5%, &lt;85% :10%</t>
  </si>
  <si>
    <t xml:space="preserve">&lt;5% :0% , 5to10% :5% , &gt;10% :10% </t>
  </si>
  <si>
    <t>Call Centre System Uptime SLA (5.1.1)</t>
  </si>
  <si>
    <t>Call Centre Accessibility SLA (5.1.2)</t>
  </si>
  <si>
    <t>Call Queue Waiting SLA (5.1.3)</t>
  </si>
  <si>
    <t>Customer Satisfaction SLA (5.1.4)</t>
  </si>
  <si>
    <t>Call abandonment SLA (5.1.5)</t>
  </si>
  <si>
    <t>Call quality SLA (5.1.6)</t>
  </si>
  <si>
    <t>WSCC Marthandam - Bill Summary -NOVEMBER 2025</t>
  </si>
  <si>
    <t>Calculation Summary - NOVEMBER 2025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</si>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</sst>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###0"/>
    <numFmt numFmtId="166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9" fontId="16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4" applyNumberFormat="0" applyFill="0" applyAlignment="0" applyProtection="0"/>
    <xf numFmtId="0" fontId="26" fillId="0" borderId="15" applyNumberFormat="0" applyFill="0" applyAlignment="0" applyProtection="0"/>
    <xf numFmtId="0" fontId="2" fillId="0" borderId="16" applyNumberFormat="0" applyFill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0" applyNumberFormat="0" applyBorder="0" applyAlignment="0" applyProtection="0"/>
    <xf numFmtId="0" fontId="30" fillId="9" borderId="17" applyNumberFormat="0" applyAlignment="0" applyProtection="0"/>
    <xf numFmtId="0" fontId="31" fillId="10" borderId="18" applyNumberFormat="0" applyAlignment="0" applyProtection="0"/>
    <xf numFmtId="0" fontId="32" fillId="10" borderId="17" applyNumberFormat="0" applyAlignment="0" applyProtection="0"/>
    <xf numFmtId="0" fontId="33" fillId="0" borderId="19" applyNumberFormat="0" applyFill="0" applyAlignment="0" applyProtection="0"/>
    <xf numFmtId="0" fontId="34" fillId="11" borderId="20" applyNumberFormat="0" applyAlignment="0" applyProtection="0"/>
    <xf numFmtId="0" fontId="35" fillId="0" borderId="0" applyNumberFormat="0" applyFill="0" applyBorder="0" applyAlignment="0" applyProtection="0"/>
    <xf numFmtId="0" fontId="16" fillId="12" borderId="21" applyNumberFormat="0" applyFont="0" applyAlignment="0" applyProtection="0"/>
    <xf numFmtId="0" fontId="36" fillId="0" borderId="0" applyNumberFormat="0" applyFill="0" applyBorder="0" applyAlignment="0" applyProtection="0"/>
    <xf numFmtId="0" fontId="1" fillId="0" borderId="22" applyNumberFormat="0" applyFill="0" applyAlignment="0" applyProtection="0"/>
    <xf numFmtId="0" fontId="3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37" fillId="36" borderId="0" applyNumberFormat="0" applyBorder="0" applyAlignment="0" applyProtection="0"/>
  </cellStyleXfs>
  <cellXfs count="158">
    <xf numFmtId="0" fontId="0" fillId="0" borderId="0" xfId="0"/>
    <xf numFmtId="0" fontId="5" fillId="0" borderId="0" xfId="0" applyFont="1"/>
    <xf numFmtId="0" fontId="6" fillId="0" borderId="1" xfId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vertical="center" wrapText="1"/>
    </xf>
    <xf numFmtId="2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0" borderId="0" xfId="0" applyFont="1"/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2" fontId="10" fillId="0" borderId="1" xfId="0" applyNumberFormat="1" applyFont="1" applyBorder="1" applyAlignment="1">
      <alignment horizontal="right" vertical="center" wrapText="1"/>
    </xf>
    <xf numFmtId="2" fontId="11" fillId="0" borderId="1" xfId="0" applyNumberFormat="1" applyFont="1" applyBorder="1" applyAlignment="1">
      <alignment horizontal="right" vertical="center"/>
    </xf>
    <xf numFmtId="2" fontId="10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 wrapText="1"/>
    </xf>
    <xf numFmtId="2" fontId="12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2" fontId="5" fillId="3" borderId="1" xfId="0" applyNumberFormat="1" applyFont="1" applyFill="1" applyBorder="1" applyAlignment="1">
      <alignment horizontal="right" vertical="center" indent="1"/>
    </xf>
    <xf numFmtId="0" fontId="5" fillId="3" borderId="1" xfId="0" applyFont="1" applyFill="1" applyBorder="1" applyAlignment="1">
      <alignment horizontal="right" vertical="center" indent="1"/>
    </xf>
    <xf numFmtId="14" fontId="5" fillId="3" borderId="1" xfId="0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14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right" vertical="center" indent="1"/>
    </xf>
    <xf numFmtId="14" fontId="14" fillId="3" borderId="1" xfId="0" applyNumberFormat="1" applyFont="1" applyFill="1" applyBorder="1" applyAlignment="1">
      <alignment horizontal="center" vertical="center"/>
    </xf>
    <xf numFmtId="2" fontId="14" fillId="3" borderId="1" xfId="0" applyNumberFormat="1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right" vertical="center"/>
    </xf>
    <xf numFmtId="2" fontId="15" fillId="3" borderId="1" xfId="0" applyNumberFormat="1" applyFont="1" applyFill="1" applyBorder="1" applyAlignment="1">
      <alignment horizontal="right" vertical="center"/>
    </xf>
    <xf numFmtId="14" fontId="5" fillId="0" borderId="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2" fontId="5" fillId="3" borderId="1" xfId="0" applyNumberFormat="1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10" fontId="5" fillId="0" borderId="1" xfId="2" applyNumberFormat="1" applyFont="1" applyBorder="1" applyAlignment="1">
      <alignment vertical="center"/>
    </xf>
    <xf numFmtId="2" fontId="17" fillId="3" borderId="1" xfId="0" applyNumberFormat="1" applyFont="1" applyFill="1" applyBorder="1" applyAlignment="1">
      <alignment horizontal="right" vertical="center"/>
    </xf>
    <xf numFmtId="2" fontId="5" fillId="0" borderId="0" xfId="0" applyNumberFormat="1" applyFont="1"/>
    <xf numFmtId="14" fontId="19" fillId="3" borderId="1" xfId="0" applyNumberFormat="1" applyFont="1" applyFill="1" applyBorder="1" applyAlignment="1">
      <alignment horizontal="center" vertical="center"/>
    </xf>
    <xf numFmtId="2" fontId="19" fillId="3" borderId="1" xfId="0" applyNumberFormat="1" applyFont="1" applyFill="1" applyBorder="1" applyAlignment="1">
      <alignment horizontal="right" vertical="center"/>
    </xf>
    <xf numFmtId="0" fontId="19" fillId="3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2" fontId="8" fillId="0" borderId="2" xfId="0" applyNumberFormat="1" applyFont="1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2" fontId="4" fillId="0" borderId="1" xfId="0" applyNumberFormat="1" applyFont="1" applyBorder="1" applyAlignment="1">
      <alignment vertical="center"/>
    </xf>
    <xf numFmtId="10" fontId="7" fillId="0" borderId="1" xfId="0" applyNumberFormat="1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/>
    </xf>
    <xf numFmtId="1" fontId="5" fillId="0" borderId="0" xfId="0" applyNumberFormat="1" applyFont="1" applyAlignment="1">
      <alignment horizontal="center" vertical="center" wrapText="1"/>
    </xf>
    <xf numFmtId="14" fontId="21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right" vertical="center"/>
    </xf>
    <xf numFmtId="2" fontId="21" fillId="3" borderId="1" xfId="0" applyNumberFormat="1" applyFont="1" applyFill="1" applyBorder="1" applyAlignment="1">
      <alignment horizontal="right" vertical="center"/>
    </xf>
    <xf numFmtId="14" fontId="22" fillId="3" borderId="1" xfId="0" applyNumberFormat="1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right" vertical="center"/>
    </xf>
    <xf numFmtId="0" fontId="22" fillId="3" borderId="1" xfId="0" applyFont="1" applyFill="1" applyBorder="1" applyAlignment="1">
      <alignment horizontal="right" vertical="center"/>
    </xf>
    <xf numFmtId="10" fontId="20" fillId="5" borderId="1" xfId="0" applyNumberFormat="1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165" fontId="0" fillId="0" borderId="0" xfId="0" applyNumberFormat="1"/>
    <xf numFmtId="14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2" fontId="5" fillId="0" borderId="3" xfId="0" applyNumberFormat="1" applyFont="1" applyBorder="1" applyAlignment="1">
      <alignment vertical="center" wrapText="1"/>
    </xf>
    <xf numFmtId="2" fontId="5" fillId="0" borderId="1" xfId="0" applyNumberFormat="1" applyFont="1" applyBorder="1" applyAlignment="1">
      <alignment vertical="center"/>
    </xf>
    <xf numFmtId="2" fontId="1" fillId="0" borderId="0" xfId="0" applyNumberFormat="1" applyFont="1"/>
    <xf numFmtId="1" fontId="5" fillId="0" borderId="0" xfId="0" applyNumberFormat="1" applyFont="1"/>
    <xf numFmtId="14" fontId="0" fillId="0" borderId="0" xfId="0" applyNumberFormat="1" applyAlignment="1">
      <alignment horizontal="left"/>
    </xf>
    <xf numFmtId="0" fontId="5" fillId="5" borderId="1" xfId="0" applyFont="1" applyFill="1" applyBorder="1" applyAlignment="1">
      <alignment vertical="center" wrapText="1"/>
    </xf>
    <xf numFmtId="14" fontId="38" fillId="3" borderId="1" xfId="0" applyNumberFormat="1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right" vertical="center"/>
    </xf>
    <xf numFmtId="2" fontId="38" fillId="3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17" fontId="3" fillId="0" borderId="2" xfId="0" applyNumberFormat="1" applyFont="1" applyBorder="1" applyAlignment="1">
      <alignment horizontal="center" vertical="center"/>
    </xf>
    <xf numFmtId="17" fontId="3" fillId="0" borderId="5" xfId="0" applyNumberFormat="1" applyFont="1" applyBorder="1" applyAlignment="1">
      <alignment horizontal="center" vertical="center"/>
    </xf>
    <xf numFmtId="17" fontId="3" fillId="0" borderId="3" xfId="0" applyNumberFormat="1" applyFont="1" applyBorder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49" fontId="4" fillId="0" borderId="8" xfId="0" applyNumberFormat="1" applyFont="1" applyBorder="1" applyAlignment="1">
      <alignment horizontal="center" vertical="center" textRotation="90" wrapText="1"/>
    </xf>
    <xf numFmtId="49" fontId="4" fillId="0" borderId="10" xfId="0" applyNumberFormat="1" applyFont="1" applyBorder="1" applyAlignment="1">
      <alignment horizontal="center" vertical="center" textRotation="90" wrapText="1"/>
    </xf>
    <xf numFmtId="49" fontId="4" fillId="0" borderId="12" xfId="0" applyNumberFormat="1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3" fillId="0" borderId="2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indent="1"/>
    </xf>
    <xf numFmtId="0" fontId="5" fillId="0" borderId="5" xfId="0" applyFont="1" applyBorder="1" applyAlignment="1">
      <alignment horizontal="right" vertical="center" indent="1"/>
    </xf>
    <xf numFmtId="0" fontId="5" fillId="0" borderId="3" xfId="0" applyFont="1" applyBorder="1" applyAlignment="1">
      <alignment horizontal="right" vertical="center" indent="1"/>
    </xf>
    <xf numFmtId="0" fontId="5" fillId="0" borderId="2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14" fontId="4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10" fontId="5" fillId="0" borderId="1" xfId="0" applyNumberFormat="1" applyFont="1" applyBorder="1" applyAlignment="1">
      <alignment horizontal="right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3" xr:uid="{00000000-0005-0000-0000-00001B000000}"/>
    <cellStyle name="Explanatory Text" xfId="19" builtinId="53" customBuiltin="1"/>
    <cellStyle name="Good" xfId="9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1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" xr:uid="{00000000-0005-0000-0000-000026000000}"/>
    <cellStyle name="Note" xfId="18" builtinId="10" customBuiltin="1"/>
    <cellStyle name="Output" xfId="13" builtinId="21" customBuiltin="1"/>
    <cellStyle name="Percent" xfId="2" builtinId="5"/>
    <cellStyle name="Title" xfId="5" builtinId="15" customBuiltin="1"/>
    <cellStyle name="Total" xfId="20" builtinId="25" customBuiltin="1"/>
    <cellStyle name="Warning Text" xfId="17" builtinId="11" customBuiltin="1"/>
  </cellStyles>
  <dxfs count="2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bgColor theme="0"/>
        </patternFill>
      </fill>
      <alignment vertical="center" textRotation="0" indent="0" justifyLastLine="0" shrinkToFit="0" readingOrder="0"/>
      <border diagonalUp="0" diagonalDown="0" outline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m/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bgColor theme="0"/>
        </patternFill>
      </fill>
      <alignment vertical="center" textRotation="0" indent="0" justifyLastLine="0" shrinkToFit="0" readingOrder="0"/>
      <border diagonalUp="0" diagonalDown="0" outline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m/d/yy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bgColor theme="0"/>
        </patternFill>
      </fill>
      <alignment vertical="center" textRotation="0" indent="0" justifyLastLine="0" shrinkToFit="0" readingOrder="0"/>
      <border diagonalUp="0" diagonalDown="0" outline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m/d/yy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bgColor theme="0"/>
        </patternFill>
      </fill>
      <alignment vertical="center" textRotation="0" indent="0" justifyLastLine="0" shrinkToFit="0" readingOrder="0"/>
      <border diagonalUp="0" diagonalDown="0" outline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theme="8" tint="0.39997558519241921"/>
        </top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dd/mm/yyyy"/>
      <fill>
        <patternFill patternType="none"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bgColor theme="0"/>
        </patternFill>
      </fill>
      <alignment vertical="center" textRotation="0" indent="0" justifyLastLine="0" shrinkToFit="0" readingOrder="0"/>
      <border diagonalUp="0" diagonalDown="0" outlin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0000000}" name="Table418" displayName="Table418" ref="A5:G37" totalsRowCount="1" headerRowDxfId="264" dataDxfId="263" totalsRowDxfId="262">
  <autoFilter ref="A5:G36" xr:uid="{00000000-0009-0000-0100-000011000000}"/>
  <sortState xmlns:xlrd2="http://schemas.microsoft.com/office/spreadsheetml/2017/richdata2" ref="A6:G36">
    <sortCondition ref="A6:A36"/>
  </sortState>
  <tableColumns count="7">
    <tableColumn id="1" xr3:uid="{00000000-0010-0000-0000-000001000000}" name="CallDate" dataDxfId="261" totalsRowDxfId="260"/>
    <tableColumn id="2" xr3:uid="{00000000-0010-0000-0000-000002000000}" name="Average Call Duaration (S)" dataDxfId="259" totalsRowDxfId="258"/>
    <tableColumn id="3" xr3:uid="{00000000-0010-0000-0000-000003000000}" name="Call Count" totalsRowFunction="sum" dataDxfId="257" totalsRowDxfId="256"/>
    <tableColumn id="4" xr3:uid="{00000000-0010-0000-0000-000004000000}" name="Total Duration (S)" totalsRowFunction="custom" dataDxfId="255" totalsRowDxfId="254">
      <totalsRowFormula>SUBTOTAL(109,D6:D36)</totalsRowFormula>
    </tableColumn>
    <tableColumn id="5" xr3:uid="{00000000-0010-0000-0000-000005000000}" name="120 * Call Count (S)" totalsRowFunction="custom" dataDxfId="253" totalsRowDxfId="252">
      <totalsRowFormula>SUBTOTAL(109,E6:E36)</totalsRowFormula>
    </tableColumn>
    <tableColumn id="6" xr3:uid="{00000000-0010-0000-0000-000006000000}" name="Unit (S)" totalsRowFunction="custom" dataDxfId="251" totalsRowDxfId="250">
      <totalsRowFormula>SUBTOTAL(109,F6:F36)</totalsRowFormula>
    </tableColumn>
    <tableColumn id="7" xr3:uid="{00000000-0010-0000-0000-000007000000}" name="Unit (Minutes)" totalsRowFunction="sum" dataDxfId="249" totalsRowDxfId="248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1000000}" name="Table519" displayName="Table519" ref="A40:G72" totalsRowCount="1" headerRowDxfId="247" dataDxfId="246" totalsRowDxfId="245">
  <autoFilter ref="A40:G71" xr:uid="{00000000-0009-0000-0100-000012000000}"/>
  <tableColumns count="7">
    <tableColumn id="1" xr3:uid="{00000000-0010-0000-0100-000001000000}" name="CallDate" dataDxfId="244" totalsRowDxfId="243"/>
    <tableColumn id="2" xr3:uid="{00000000-0010-0000-0100-000002000000}" name="Average Call Duaration (S)" dataDxfId="242" totalsRowDxfId="241"/>
    <tableColumn id="3" xr3:uid="{00000000-0010-0000-0100-000003000000}" name="Call Count" totalsRowFunction="sum" dataDxfId="240" totalsRowDxfId="239"/>
    <tableColumn id="4" xr3:uid="{00000000-0010-0000-0100-000004000000}" name="Total Duration (S)" totalsRowFunction="custom" dataDxfId="238" totalsRowDxfId="237">
      <totalsRowFormula>SUBTOTAL(109,D41:D71)</totalsRowFormula>
    </tableColumn>
    <tableColumn id="5" xr3:uid="{00000000-0010-0000-0100-000005000000}" name="120 * Call Count (S)" totalsRowFunction="custom" dataDxfId="236" totalsRowDxfId="235">
      <totalsRowFormula>SUBTOTAL(109,E41:E71)</totalsRowFormula>
    </tableColumn>
    <tableColumn id="6" xr3:uid="{00000000-0010-0000-0100-000006000000}" name="Unit (S)" totalsRowFunction="custom" dataDxfId="234" totalsRowDxfId="233">
      <totalsRowFormula>SUBTOTAL(109,F41:F71)</totalsRowFormula>
    </tableColumn>
    <tableColumn id="7" xr3:uid="{00000000-0010-0000-0100-000007000000}" name="Unit (Minutes)" totalsRowFunction="sum" dataDxfId="232" totalsRowDxfId="231"/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2000000}" name="Table620" displayName="Table620" ref="A75:G107" totalsRowCount="1" headerRowDxfId="230" dataDxfId="228" totalsRowDxfId="226" headerRowBorderDxfId="229" tableBorderDxfId="227">
  <autoFilter ref="A75:G106" xr:uid="{00000000-0009-0000-0100-000013000000}"/>
  <tableColumns count="7">
    <tableColumn id="1" xr3:uid="{00000000-0010-0000-0200-000001000000}" name="CallDate" dataDxfId="225" totalsRowDxfId="224"/>
    <tableColumn id="2" xr3:uid="{00000000-0010-0000-0200-000002000000}" name="Average Call Duaration (S)" dataDxfId="223" totalsRowDxfId="222"/>
    <tableColumn id="3" xr3:uid="{00000000-0010-0000-0200-000003000000}" name="Call Count" totalsRowFunction="sum" dataDxfId="221" totalsRowDxfId="220"/>
    <tableColumn id="4" xr3:uid="{00000000-0010-0000-0200-000004000000}" name="Total Duration (S)" totalsRowFunction="custom" dataDxfId="219" totalsRowDxfId="218">
      <totalsRowFormula>SUBTOTAL(109,D76:D106)</totalsRowFormula>
    </tableColumn>
    <tableColumn id="5" xr3:uid="{00000000-0010-0000-0200-000005000000}" name="120 * Call Count (S)" totalsRowFunction="custom" dataDxfId="217" totalsRowDxfId="216">
      <totalsRowFormula>SUBTOTAL(109,E76:E106)</totalsRowFormula>
    </tableColumn>
    <tableColumn id="6" xr3:uid="{00000000-0010-0000-0200-000006000000}" name="Unit (S)" totalsRowFunction="custom" dataDxfId="215" totalsRowDxfId="214">
      <totalsRowFormula>SUBTOTAL(109,F76:F106)</totalsRowFormula>
    </tableColumn>
    <tableColumn id="7" xr3:uid="{00000000-0010-0000-0200-000007000000}" name="Unit (Minutes)" totalsRowFunction="sum" dataDxfId="213" totalsRowDxfId="212"/>
  </tableColumns>
  <tableStyleInfo name="TableStyleMedium2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3000000}" name="Table721" displayName="Table721" ref="A113:G145" totalsRowCount="1" headerRowDxfId="211" dataDxfId="210" totalsRowDxfId="209" totalsRowBorderDxfId="208">
  <autoFilter ref="A113:G144" xr:uid="{00000000-0009-0000-0100-000014000000}"/>
  <tableColumns count="7">
    <tableColumn id="1" xr3:uid="{00000000-0010-0000-0300-000001000000}" name="CallDate" dataDxfId="207" totalsRowDxfId="206"/>
    <tableColumn id="2" xr3:uid="{00000000-0010-0000-0300-000002000000}" name="Average Call Duaration (S)" dataDxfId="205" totalsRowDxfId="204"/>
    <tableColumn id="3" xr3:uid="{00000000-0010-0000-0300-000003000000}" name="Call Count" totalsRowFunction="sum" dataDxfId="203" totalsRowDxfId="202"/>
    <tableColumn id="4" xr3:uid="{00000000-0010-0000-0300-000004000000}" name="Total Duration (S)" totalsRowFunction="sum" dataDxfId="201" totalsRowDxfId="200"/>
    <tableColumn id="5" xr3:uid="{00000000-0010-0000-0300-000005000000}" name="130 * Call Count (S)" totalsRowFunction="custom" dataDxfId="199" totalsRowDxfId="198">
      <totalsRowFormula>SUBTOTAL(109,E114:E144)</totalsRowFormula>
    </tableColumn>
    <tableColumn id="6" xr3:uid="{00000000-0010-0000-0300-000006000000}" name="Unit (S)" totalsRowFunction="custom" dataDxfId="197" totalsRowDxfId="196">
      <totalsRowFormula>SUBTOTAL(109,F114:F144)</totalsRowFormula>
    </tableColumn>
    <tableColumn id="7" xr3:uid="{00000000-0010-0000-0300-000007000000}" name="Unit (Minutes)" totalsRowFunction="sum" dataDxfId="195" totalsRowDxfId="194"/>
  </tableColumns>
  <tableStyleInfo name="TableStyleMedium2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4000000}" name="Table822" displayName="Table822" ref="A148:G180" totalsRowCount="1" headerRowDxfId="193" dataDxfId="192" totalsRowDxfId="191">
  <autoFilter ref="A148:G179" xr:uid="{00000000-0009-0000-0100-000015000000}"/>
  <tableColumns count="7">
    <tableColumn id="1" xr3:uid="{00000000-0010-0000-0400-000001000000}" name="CallDate" dataDxfId="190" totalsRowDxfId="189"/>
    <tableColumn id="2" xr3:uid="{00000000-0010-0000-0400-000002000000}" name="Average Call Duaration (S)" dataDxfId="188" totalsRowDxfId="187"/>
    <tableColumn id="3" xr3:uid="{00000000-0010-0000-0400-000003000000}" name="Call Count" totalsRowFunction="sum" dataDxfId="186" totalsRowDxfId="185"/>
    <tableColumn id="4" xr3:uid="{00000000-0010-0000-0400-000004000000}" name="Total Duration (S)" totalsRowFunction="sum" dataDxfId="184" totalsRowDxfId="183"/>
    <tableColumn id="5" xr3:uid="{00000000-0010-0000-0400-000005000000}" name="130 * Call Count (S)" dataDxfId="182" totalsRowDxfId="181"/>
    <tableColumn id="6" xr3:uid="{00000000-0010-0000-0400-000006000000}" name="Unit (S)" dataDxfId="180" totalsRowDxfId="179"/>
    <tableColumn id="7" xr3:uid="{00000000-0010-0000-0400-000007000000}" name="Unit (Minutes)" totalsRowFunction="sum" dataDxfId="178" totalsRowDxfId="177"/>
  </tableColumns>
  <tableStyleInfo name="TableStyleMedium2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5000000}" name="Table923" displayName="Table923" ref="A191:G223" totalsRowCount="1" headerRowDxfId="176" dataDxfId="175" totalsRowDxfId="174">
  <autoFilter ref="A191:G222" xr:uid="{00000000-0009-0000-0100-000016000000}"/>
  <tableColumns count="7">
    <tableColumn id="1" xr3:uid="{00000000-0010-0000-0500-000001000000}" name="CallDate" dataDxfId="173" totalsRowDxfId="172"/>
    <tableColumn id="2" xr3:uid="{00000000-0010-0000-0500-000002000000}" name="Average Call Duaration (S)" dataDxfId="171" totalsRowDxfId="170"/>
    <tableColumn id="3" xr3:uid="{00000000-0010-0000-0500-000003000000}" name="Call Count" totalsRowFunction="sum" dataDxfId="169" totalsRowDxfId="168"/>
    <tableColumn id="4" xr3:uid="{00000000-0010-0000-0500-000004000000}" name="Total Duration (S)" dataDxfId="167" totalsRowDxfId="166"/>
    <tableColumn id="5" xr3:uid="{00000000-0010-0000-0500-000005000000}" name="150 * Call Count (S)" dataDxfId="165" totalsRowDxfId="164"/>
    <tableColumn id="6" xr3:uid="{00000000-0010-0000-0500-000006000000}" name="Unit (S)" dataDxfId="163" totalsRowDxfId="162"/>
    <tableColumn id="7" xr3:uid="{00000000-0010-0000-0500-000007000000}" name="Unit (Minutes)" totalsRowFunction="sum" dataDxfId="161" totalsRowDxfId="160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6000000}" name="Table1024" displayName="Table1024" ref="A226:G258" totalsRowCount="1" headerRowDxfId="159" dataDxfId="158" totalsRowDxfId="157">
  <autoFilter ref="A226:G257" xr:uid="{00000000-0009-0000-0100-000017000000}"/>
  <tableColumns count="7">
    <tableColumn id="1" xr3:uid="{00000000-0010-0000-0600-000001000000}" name="CallDate" dataDxfId="156" totalsRowDxfId="155"/>
    <tableColumn id="2" xr3:uid="{00000000-0010-0000-0600-000002000000}" name="Average Call Duaration (S)" dataDxfId="154" totalsRowDxfId="153"/>
    <tableColumn id="3" xr3:uid="{00000000-0010-0000-0600-000003000000}" name="Call Count" totalsRowFunction="sum" dataDxfId="152" totalsRowDxfId="151"/>
    <tableColumn id="4" xr3:uid="{00000000-0010-0000-0600-000004000000}" name="Total Duration (S)" dataDxfId="150" totalsRowDxfId="149"/>
    <tableColumn id="5" xr3:uid="{00000000-0010-0000-0600-000005000000}" name="150 * Call Count (S)" dataDxfId="148" totalsRowDxfId="147"/>
    <tableColumn id="6" xr3:uid="{00000000-0010-0000-0600-000006000000}" name="Unit (S)" dataDxfId="146" totalsRowDxfId="145"/>
    <tableColumn id="7" xr3:uid="{00000000-0010-0000-0600-000007000000}" name="Unit (Minutes)" totalsRowFunction="sum" dataDxfId="144" totalsRowDxfId="143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7000000}" name="Table1125" displayName="Table1125" ref="A183:G185" totalsRowCount="1" headerRowDxfId="142" dataDxfId="141" totalsRowDxfId="140">
  <autoFilter ref="A183:G184" xr:uid="{00000000-0009-0000-0100-000018000000}"/>
  <tableColumns count="7">
    <tableColumn id="1" xr3:uid="{00000000-0010-0000-0700-000001000000}" name="CallDate" dataDxfId="139" totalsRowDxfId="138"/>
    <tableColumn id="2" xr3:uid="{00000000-0010-0000-0700-000002000000}" name="Average Call Duaration (S)" dataDxfId="137" totalsRowDxfId="136"/>
    <tableColumn id="3" xr3:uid="{00000000-0010-0000-0700-000003000000}" name="Call Count" dataDxfId="135" totalsRowDxfId="134"/>
    <tableColumn id="4" xr3:uid="{00000000-0010-0000-0700-000004000000}" name="Total Duration (S)" dataDxfId="133" totalsRowDxfId="132"/>
    <tableColumn id="5" xr3:uid="{00000000-0010-0000-0700-000005000000}" name="130 * Call Count (S)" dataDxfId="131" totalsRowDxfId="130"/>
    <tableColumn id="6" xr3:uid="{00000000-0010-0000-0700-000006000000}" name="Unit (S)" dataDxfId="129" totalsRowDxfId="128"/>
    <tableColumn id="7" xr3:uid="{00000000-0010-0000-0700-000007000000}" name="Unit (Minutes)" totalsRowFunction="sum" dataDxfId="127" totalsRowDxfId="126"/>
  </tableColumns>
  <tableStyleInfo name="TableStyleMedium2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8000000}" name="Table1326" displayName="Table1326" ref="A261:G263" totalsRowCount="1" headerRowDxfId="125" dataDxfId="124" totalsRowDxfId="123">
  <autoFilter ref="A261:G262" xr:uid="{00000000-0009-0000-0100-000019000000}"/>
  <tableColumns count="7">
    <tableColumn id="1" xr3:uid="{00000000-0010-0000-0800-000001000000}" name="CallDate" dataDxfId="122" totalsRowDxfId="121"/>
    <tableColumn id="2" xr3:uid="{00000000-0010-0000-0800-000002000000}" name="Average Call Duaration (S)" dataDxfId="120" totalsRowDxfId="119"/>
    <tableColumn id="3" xr3:uid="{00000000-0010-0000-0800-000003000000}" name="Call Count" dataDxfId="118" totalsRowDxfId="117"/>
    <tableColumn id="4" xr3:uid="{00000000-0010-0000-0800-000004000000}" name="Total Duration (S)" dataDxfId="116" totalsRowDxfId="115"/>
    <tableColumn id="5" xr3:uid="{00000000-0010-0000-0800-000005000000}" name="150 * Call Count (S)" dataDxfId="114" totalsRowDxfId="113"/>
    <tableColumn id="6" xr3:uid="{00000000-0010-0000-0800-000006000000}" name="Unit (S)" dataDxfId="112" totalsRowDxfId="111"/>
    <tableColumn id="7" xr3:uid="{00000000-0010-0000-0800-000007000000}" name="Unit (Minutes)" totalsRowFunction="sum" dataDxfId="110" totalsRowDxfId="109"/>
  </tableColumns>
  <tableStyleInfo name="TableStyleMedium2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9000000}" name="Table1427" displayName="Table1427" ref="A269:G271" totalsRowCount="1" headerRowDxfId="108" dataDxfId="106" totalsRowDxfId="104" headerRowBorderDxfId="107" tableBorderDxfId="105">
  <autoFilter ref="A269:G270" xr:uid="{00000000-0009-0000-0100-00001A000000}"/>
  <tableColumns count="7">
    <tableColumn id="1" xr3:uid="{00000000-0010-0000-0900-000001000000}" name="CallDate" dataDxfId="103" totalsRowDxfId="102"/>
    <tableColumn id="2" xr3:uid="{00000000-0010-0000-0900-000002000000}" name="Average Call Duaration (S)" dataDxfId="101" totalsRowDxfId="100"/>
    <tableColumn id="3" xr3:uid="{00000000-0010-0000-0900-000003000000}" name="Call Count" dataDxfId="99" totalsRowDxfId="98"/>
    <tableColumn id="4" xr3:uid="{00000000-0010-0000-0900-000004000000}" name="Total Duration (S)" dataDxfId="97" totalsRowDxfId="96"/>
    <tableColumn id="5" xr3:uid="{00000000-0010-0000-0900-000005000000}" name="180 * Call Count (S)" dataDxfId="95" totalsRowDxfId="94"/>
    <tableColumn id="6" xr3:uid="{00000000-0010-0000-0900-000006000000}" name="Unit (S)" dataDxfId="93" totalsRowDxfId="92"/>
    <tableColumn id="7" xr3:uid="{00000000-0010-0000-0900-000007000000}" name="Unit (Minutes)" totalsRowFunction="sum" dataDxfId="91" totalsRowDxfId="90"/>
  </tableColumns>
  <tableStyleInfo name="TableStyleMedium2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A000000}" name="Table1528" displayName="Table1528" ref="A274:G276" totalsRowCount="1" headerRowDxfId="89" dataDxfId="87" totalsRowDxfId="85" headerRowBorderDxfId="88" tableBorderDxfId="86">
  <autoFilter ref="A274:G275" xr:uid="{00000000-0009-0000-0100-00001B000000}"/>
  <tableColumns count="7">
    <tableColumn id="1" xr3:uid="{00000000-0010-0000-0A00-000001000000}" name="CallDate" dataDxfId="84" totalsRowDxfId="83"/>
    <tableColumn id="2" xr3:uid="{00000000-0010-0000-0A00-000002000000}" name="Average Call Duaration (S)" dataDxfId="82" totalsRowDxfId="81"/>
    <tableColumn id="3" xr3:uid="{00000000-0010-0000-0A00-000003000000}" name="Call Count" dataDxfId="80" totalsRowDxfId="79"/>
    <tableColumn id="4" xr3:uid="{00000000-0010-0000-0A00-000004000000}" name="Total Duration (S)" dataDxfId="78" totalsRowDxfId="77"/>
    <tableColumn id="5" xr3:uid="{00000000-0010-0000-0A00-000005000000}" name="180 * Call Count (S)" dataDxfId="76" totalsRowDxfId="75"/>
    <tableColumn id="6" xr3:uid="{00000000-0010-0000-0A00-000006000000}" name="Unit (S)" dataDxfId="74" totalsRowDxfId="73"/>
    <tableColumn id="7" xr3:uid="{00000000-0010-0000-0A00-000007000000}" name="Unit (Minutes)" totalsRowFunction="sum" dataDxfId="72" totalsRowDxfId="71"/>
  </tableColumns>
  <tableStyleInfo name="TableStyleMedium2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B000000}" name="Table1629" displayName="Table1629" ref="A279:G311" totalsRowCount="1" headerRowDxfId="70" dataDxfId="68" totalsRowDxfId="67" headerRowBorderDxfId="69">
  <autoFilter ref="A279:G310" xr:uid="{00000000-0009-0000-0100-00001C000000}"/>
  <tableColumns count="7">
    <tableColumn id="1" xr3:uid="{00000000-0010-0000-0B00-000001000000}" name="CallDate" dataDxfId="66" totalsRowDxfId="65"/>
    <tableColumn id="2" xr3:uid="{00000000-0010-0000-0B00-000002000000}" name="Average Call Duaration (S)" dataDxfId="64" totalsRowDxfId="63"/>
    <tableColumn id="3" xr3:uid="{00000000-0010-0000-0B00-000003000000}" name="Call Count" totalsRowFunction="sum" dataDxfId="62" totalsRowDxfId="61"/>
    <tableColumn id="4" xr3:uid="{00000000-0010-0000-0B00-000004000000}" name="Total Duration (S)" totalsRowFunction="sum" dataDxfId="60" totalsRowDxfId="59"/>
    <tableColumn id="5" xr3:uid="{00000000-0010-0000-0B00-000005000000}" name="180 * Call Count (S)" totalsRowFunction="sum" dataDxfId="58" totalsRowDxfId="57"/>
    <tableColumn id="6" xr3:uid="{00000000-0010-0000-0B00-000006000000}" name="Unit (S)" totalsRowFunction="sum" dataDxfId="56" totalsRowDxfId="55"/>
    <tableColumn id="7" xr3:uid="{00000000-0010-0000-0B00-000007000000}" name="Unit (Minutes)" totalsRowFunction="sum" dataDxfId="54" totalsRowDxfId="53"/>
  </tableColumns>
  <tableStyleInfo name="TableStyleMedium2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C000000}" name="Table7214" displayName="Table7214" ref="A4:G36" totalsRowCount="1" headerRowDxfId="52" dataDxfId="51" totalsRowDxfId="50" totalsRowBorderDxfId="49">
  <autoFilter ref="A4:G35" xr:uid="{00000000-0009-0000-0100-000003000000}"/>
  <sortState xmlns:xlrd2="http://schemas.microsoft.com/office/spreadsheetml/2017/richdata2" ref="A5:G35">
    <sortCondition ref="A4"/>
  </sortState>
  <tableColumns count="7">
    <tableColumn id="1" xr3:uid="{00000000-0010-0000-0C00-000001000000}" name="CallDate" dataDxfId="48" totalsRowDxfId="47"/>
    <tableColumn id="2" xr3:uid="{00000000-0010-0000-0C00-000002000000}" name="Average Call Duaration (S)" dataDxfId="46" totalsRowDxfId="45"/>
    <tableColumn id="3" xr3:uid="{00000000-0010-0000-0C00-000003000000}" name="Call Count" dataDxfId="44" totalsRowDxfId="43"/>
    <tableColumn id="4" xr3:uid="{00000000-0010-0000-0C00-000004000000}" name="Total Duration (S)" totalsRowFunction="sum" dataDxfId="42" totalsRowDxfId="41"/>
    <tableColumn id="5" xr3:uid="{00000000-0010-0000-0C00-000005000000}" name="130 * Call Count (S)" totalsRowFunction="custom" dataDxfId="40" totalsRowDxfId="39">
      <calculatedColumnFormula>Table7214[[#This Row],[Call Count]]*180</calculatedColumnFormula>
      <totalsRowFormula>SUBTOTAL(109,E5:E35)</totalsRowFormula>
    </tableColumn>
    <tableColumn id="6" xr3:uid="{00000000-0010-0000-0C00-000006000000}" name="Unit (S)" totalsRowFunction="custom" dataDxfId="38" totalsRowDxfId="37">
      <calculatedColumnFormula>IF(Table7214[[#This Row],[Total Duration (S)]]&gt;Table7214[[#This Row],[130 * Call Count (S)]],Table7214[[#This Row],[130 * Call Count (S)]],Table7214[[#This Row],[Total Duration (S)]])</calculatedColumnFormula>
      <totalsRowFormula>SUBTOTAL(109,F5:F35)</totalsRowFormula>
    </tableColumn>
    <tableColumn id="7" xr3:uid="{00000000-0010-0000-0C00-000007000000}" name="Unit (Minutes)" totalsRowFunction="sum" dataDxfId="36" totalsRowDxfId="35">
      <calculatedColumnFormula>Table7214[[#This Row],[Unit (S)]]/60</calculatedColumnFormula>
    </tableColumn>
  </tableColumns>
  <tableStyleInfo name="TableStyleMedium2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e9235" displayName="Table9235" ref="A39:G71" totalsRowCount="1" headerRowDxfId="34" dataDxfId="33" totalsRowDxfId="32">
  <autoFilter ref="A39:G70" xr:uid="{00000000-0009-0000-0100-000004000000}"/>
  <tableColumns count="7">
    <tableColumn id="1" xr3:uid="{00000000-0010-0000-0D00-000001000000}" name="CallDate" dataDxfId="31" totalsRowDxfId="30"/>
    <tableColumn id="2" xr3:uid="{00000000-0010-0000-0D00-000002000000}" name="Average Call Duaration (S)" dataDxfId="29" totalsRowDxfId="28"/>
    <tableColumn id="3" xr3:uid="{00000000-0010-0000-0D00-000003000000}" name="Call Count" dataDxfId="27" totalsRowDxfId="26"/>
    <tableColumn id="4" xr3:uid="{00000000-0010-0000-0D00-000004000000}" name="Total Duration (S)" dataDxfId="25" totalsRowDxfId="24"/>
    <tableColumn id="5" xr3:uid="{00000000-0010-0000-0D00-000005000000}" name="150 * Call Count (S)" dataDxfId="23" totalsRowDxfId="22"/>
    <tableColumn id="6" xr3:uid="{00000000-0010-0000-0D00-000006000000}" name="Unit (S)" dataDxfId="21" totalsRowDxfId="20"/>
    <tableColumn id="7" xr3:uid="{00000000-0010-0000-0D00-000007000000}" name="Unit (Minutes)" totalsRowFunction="sum" dataDxfId="19" totalsRowDxfId="18"/>
  </tableColumns>
  <tableStyleInfo name="TableStyleMedium2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E000000}" name="Table16296" displayName="Table16296" ref="A75:G107" totalsRowCount="1" headerRowDxfId="17" dataDxfId="15" totalsRowDxfId="14" headerRowBorderDxfId="16">
  <autoFilter ref="A75:G106" xr:uid="{00000000-0009-0000-0100-000005000000}"/>
  <tableColumns count="7">
    <tableColumn id="1" xr3:uid="{00000000-0010-0000-0E00-000001000000}" name="CallDate" dataDxfId="13" totalsRowDxfId="12"/>
    <tableColumn id="2" xr3:uid="{00000000-0010-0000-0E00-000002000000}" name="Average Call Duaration (S)" dataDxfId="11" totalsRowDxfId="10"/>
    <tableColumn id="3" xr3:uid="{00000000-0010-0000-0E00-000003000000}" name="Call Count" dataDxfId="9" totalsRowDxfId="8"/>
    <tableColumn id="4" xr3:uid="{00000000-0010-0000-0E00-000004000000}" name="Total Duration (S)" dataDxfId="7" totalsRowDxfId="6"/>
    <tableColumn id="5" xr3:uid="{00000000-0010-0000-0E00-000005000000}" name="180 * Call Count (S)" dataDxfId="5" totalsRowDxfId="4"/>
    <tableColumn id="6" xr3:uid="{00000000-0010-0000-0E00-000006000000}" name="Unit (S)" dataDxfId="3" totalsRowDxfId="2"/>
    <tableColumn id="7" xr3:uid="{00000000-0010-0000-0E00-000007000000}" name="Unit (Minutes)" totalsRowFunction="sum" dataDxfId="1" totalsRow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E6" sqref="E6"/>
    </sheetView>
  </sheetViews>
  <sheetFormatPr defaultRowHeight="24" customHeight="1" x14ac:dyDescent="0.35"/>
  <cols>
    <col min="1" max="1" width="46.6328125" customWidth="1"/>
    <col min="2" max="2" width="21.6328125" customWidth="1"/>
  </cols>
  <sheetData>
    <row r="1" spans="1:2" ht="24" customHeight="1" x14ac:dyDescent="0.35">
      <c r="A1" s="92" t="s">
        <v>128</v>
      </c>
      <c r="B1" s="92"/>
    </row>
    <row r="2" spans="1:2" ht="24" customHeight="1" x14ac:dyDescent="0.35">
      <c r="A2" s="11" t="s">
        <v>22</v>
      </c>
      <c r="B2" s="12" t="s">
        <v>55</v>
      </c>
    </row>
    <row r="3" spans="1:2" ht="24" customHeight="1" x14ac:dyDescent="0.35">
      <c r="A3" s="13" t="s">
        <v>57</v>
      </c>
      <c r="B3" s="14">
        <f>'Bill Calculation NOVEMBER 2025'!G17</f>
        <v>1619269.7179310918</v>
      </c>
    </row>
    <row r="4" spans="1:2" ht="24" customHeight="1" x14ac:dyDescent="0.35">
      <c r="A4" s="13" t="s">
        <v>59</v>
      </c>
      <c r="B4" s="14">
        <v>0</v>
      </c>
    </row>
    <row r="5" spans="1:2" ht="24" customHeight="1" x14ac:dyDescent="0.35">
      <c r="A5" s="13" t="s">
        <v>58</v>
      </c>
      <c r="B5" s="15">
        <f>B3-B4</f>
        <v>1619269.7179310918</v>
      </c>
    </row>
    <row r="6" spans="1:2" ht="24" customHeight="1" x14ac:dyDescent="0.35">
      <c r="A6" s="13" t="s">
        <v>86</v>
      </c>
      <c r="B6" s="16">
        <f>B5*0.09</f>
        <v>145734.27461379825</v>
      </c>
    </row>
    <row r="7" spans="1:2" ht="24" customHeight="1" x14ac:dyDescent="0.35">
      <c r="A7" s="13" t="s">
        <v>87</v>
      </c>
      <c r="B7" s="16">
        <f>B5*0.09</f>
        <v>145734.27461379825</v>
      </c>
    </row>
    <row r="8" spans="1:2" ht="24" customHeight="1" x14ac:dyDescent="0.35">
      <c r="A8" s="13" t="s">
        <v>88</v>
      </c>
      <c r="B8" s="16">
        <f>B6+B7</f>
        <v>291468.54922759649</v>
      </c>
    </row>
    <row r="9" spans="1:2" ht="24" customHeight="1" x14ac:dyDescent="0.35">
      <c r="A9" s="17" t="s">
        <v>56</v>
      </c>
      <c r="B9" s="18">
        <f>B5+B8</f>
        <v>1910738.2671586883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opLeftCell="A13" workbookViewId="0">
      <selection activeCell="G33" sqref="G33"/>
    </sheetView>
  </sheetViews>
  <sheetFormatPr defaultColWidth="9.1796875" defaultRowHeight="13" x14ac:dyDescent="0.3"/>
  <cols>
    <col min="1" max="1" width="3.6328125" style="1" customWidth="1"/>
    <col min="2" max="2" width="36.7265625" style="1" customWidth="1"/>
    <col min="3" max="3" width="12.26953125" style="1" customWidth="1"/>
    <col min="4" max="4" width="12.36328125" style="1" customWidth="1"/>
    <col min="5" max="5" width="12.26953125" style="1" customWidth="1"/>
    <col min="6" max="6" width="12" style="1" customWidth="1"/>
    <col min="7" max="7" width="13.453125" style="1" customWidth="1"/>
    <col min="8" max="8" width="36.81640625" style="1" customWidth="1"/>
    <col min="9" max="9" width="9.1796875" style="1"/>
    <col min="10" max="10" width="12.08984375" style="85" customWidth="1"/>
    <col min="11" max="11" width="14.36328125" style="1" customWidth="1"/>
    <col min="12" max="16384" width="9.1796875" style="1"/>
  </cols>
  <sheetData>
    <row r="1" spans="1:11" ht="22.5" customHeight="1" x14ac:dyDescent="0.3">
      <c r="A1" s="101" t="s">
        <v>129</v>
      </c>
      <c r="B1" s="102"/>
      <c r="C1" s="102"/>
      <c r="D1" s="102"/>
      <c r="E1" s="102"/>
      <c r="F1" s="102"/>
      <c r="G1" s="102"/>
      <c r="H1" s="103"/>
    </row>
    <row r="2" spans="1:11" ht="23.25" customHeight="1" x14ac:dyDescent="0.3">
      <c r="A2" s="104" t="s">
        <v>22</v>
      </c>
      <c r="B2" s="104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31</v>
      </c>
      <c r="K2" s="58"/>
    </row>
    <row r="3" spans="1:11" x14ac:dyDescent="0.3">
      <c r="A3" s="105" t="s">
        <v>115</v>
      </c>
      <c r="B3" s="62" t="s">
        <v>37</v>
      </c>
      <c r="C3" s="3">
        <f>Table418[[#Totals],[Unit (Minutes)]]</f>
        <v>151269.15111168002</v>
      </c>
      <c r="D3" s="3">
        <f>Table721[[#Totals],[Unit (Minutes)]]</f>
        <v>407402.00994667999</v>
      </c>
      <c r="E3" s="3">
        <f>Table923[[#Totals],[Unit (Minutes)]]</f>
        <v>17893.365948329996</v>
      </c>
      <c r="F3" s="3">
        <f>Table1427[[#Totals],[Unit (Minutes)]]</f>
        <v>0</v>
      </c>
      <c r="G3" s="2"/>
      <c r="H3" s="2"/>
      <c r="J3" s="85">
        <v>71116.350166666656</v>
      </c>
      <c r="K3" s="58">
        <f>J3-C8</f>
        <v>19.849144177045673</v>
      </c>
    </row>
    <row r="4" spans="1:11" x14ac:dyDescent="0.3">
      <c r="A4" s="106"/>
      <c r="B4" s="62" t="s">
        <v>38</v>
      </c>
      <c r="C4" s="3">
        <f>Table519[[#Totals],[Unit (Minutes)]]</f>
        <v>0</v>
      </c>
      <c r="D4" s="3">
        <f>Table822[[#Totals],[Unit (Minutes)]]</f>
        <v>1239.6833716599999</v>
      </c>
      <c r="E4" s="3">
        <f>Table1024[[#Totals],[Unit (Minutes)]]</f>
        <v>76.983346659999995</v>
      </c>
      <c r="F4" s="3">
        <f>Table1528[[#Totals],[Unit (Minutes)]]</f>
        <v>0</v>
      </c>
      <c r="G4" s="2"/>
      <c r="H4" s="2"/>
      <c r="J4" s="85">
        <v>1271155.4314999997</v>
      </c>
      <c r="K4" s="58">
        <f>J4-D8</f>
        <v>279.7652799624484</v>
      </c>
    </row>
    <row r="5" spans="1:11" x14ac:dyDescent="0.3">
      <c r="A5" s="106"/>
      <c r="B5" s="62" t="s">
        <v>39</v>
      </c>
      <c r="C5" s="3">
        <f>Table620[[#Totals],[Unit (Minutes)]]</f>
        <v>0</v>
      </c>
      <c r="D5" s="3">
        <f>Table1125[[#Totals],[Unit (Minutes)]]</f>
        <v>0</v>
      </c>
      <c r="E5" s="3">
        <f>Table1326[[#Totals],[Unit (Minutes)]]</f>
        <v>0</v>
      </c>
      <c r="F5" s="3">
        <f>Table1629[[#Totals],[Unit (Minutes)]]</f>
        <v>12898.683616659997</v>
      </c>
      <c r="G5" s="2"/>
      <c r="H5" s="2"/>
      <c r="J5" s="85">
        <v>55919.354999999989</v>
      </c>
      <c r="K5" s="58">
        <f>J5-E8</f>
        <v>31.568692581102368</v>
      </c>
    </row>
    <row r="6" spans="1:11" x14ac:dyDescent="0.3">
      <c r="A6" s="106"/>
      <c r="B6" s="62" t="s">
        <v>40</v>
      </c>
      <c r="C6" s="4">
        <f>C3+C4+C5</f>
        <v>151269.15111168002</v>
      </c>
      <c r="D6" s="4">
        <f t="shared" ref="D6" si="0">D3+D4+D5</f>
        <v>408641.69331834</v>
      </c>
      <c r="E6" s="4">
        <f>E3+E4+E5</f>
        <v>17970.349294989996</v>
      </c>
      <c r="F6" s="4">
        <f>F3+F4+F5</f>
        <v>12898.683616659997</v>
      </c>
      <c r="G6" s="62"/>
      <c r="H6" s="5" t="s">
        <v>75</v>
      </c>
      <c r="J6" s="85">
        <v>40699.1705</v>
      </c>
      <c r="K6" s="58">
        <f>J6-F8</f>
        <v>584.26445218740992</v>
      </c>
    </row>
    <row r="7" spans="1:11" x14ac:dyDescent="0.3">
      <c r="A7" s="106"/>
      <c r="B7" s="62" t="s">
        <v>41</v>
      </c>
      <c r="C7" s="87">
        <v>0.47</v>
      </c>
      <c r="D7" s="87">
        <v>3.11</v>
      </c>
      <c r="E7" s="87">
        <v>3.11</v>
      </c>
      <c r="F7" s="87">
        <v>3.11</v>
      </c>
      <c r="G7" s="62"/>
      <c r="H7" s="5"/>
      <c r="J7" s="85">
        <v>181294.85833333331</v>
      </c>
      <c r="K7" s="58">
        <f>J7-G16</f>
        <v>0</v>
      </c>
    </row>
    <row r="8" spans="1:11" s="10" customFormat="1" ht="14.5" x14ac:dyDescent="0.35">
      <c r="A8" s="106"/>
      <c r="B8" s="6" t="s">
        <v>42</v>
      </c>
      <c r="C8" s="64">
        <f>C6*C7</f>
        <v>71096.50102248961</v>
      </c>
      <c r="D8" s="64">
        <f>D6*D7</f>
        <v>1270875.6662200373</v>
      </c>
      <c r="E8" s="64">
        <f>E6*E7</f>
        <v>55887.786307418886</v>
      </c>
      <c r="F8" s="64">
        <f>F6*F7</f>
        <v>40114.90604781259</v>
      </c>
      <c r="G8" s="64">
        <f>SUM(C8:F8)</f>
        <v>1437974.8595977584</v>
      </c>
      <c r="H8" s="5" t="s">
        <v>76</v>
      </c>
      <c r="J8" s="85"/>
      <c r="K8" s="84"/>
    </row>
    <row r="9" spans="1:11" x14ac:dyDescent="0.3">
      <c r="A9" s="106"/>
      <c r="B9" s="62" t="s">
        <v>43</v>
      </c>
      <c r="C9" s="4">
        <f>C3*0.15</f>
        <v>22690.372666752002</v>
      </c>
      <c r="D9" s="4">
        <f>D3*0.15</f>
        <v>61110.301492001992</v>
      </c>
      <c r="E9" s="4">
        <f>E3*0.15</f>
        <v>2684.0048922494993</v>
      </c>
      <c r="F9" s="4">
        <f>F3*0.15</f>
        <v>0</v>
      </c>
      <c r="G9" s="6"/>
      <c r="H9" s="5" t="s">
        <v>77</v>
      </c>
    </row>
    <row r="10" spans="1:11" x14ac:dyDescent="0.3">
      <c r="A10" s="106"/>
      <c r="B10" s="62" t="s">
        <v>44</v>
      </c>
      <c r="C10" s="7" t="str">
        <f>IF(C4&gt;C9,"Yes","No")</f>
        <v>No</v>
      </c>
      <c r="D10" s="7" t="str">
        <f>IF(D4&gt;D9,"Yes","No")</f>
        <v>No</v>
      </c>
      <c r="E10" s="7" t="str">
        <f>IF(E4&gt;E9,"Yes","No")</f>
        <v>No</v>
      </c>
      <c r="F10" s="7" t="str">
        <f>IF(F4&gt;F9,"Yes","No")</f>
        <v>No</v>
      </c>
      <c r="G10" s="6"/>
      <c r="H10" s="5"/>
    </row>
    <row r="11" spans="1:11" ht="52" x14ac:dyDescent="0.3">
      <c r="A11" s="106"/>
      <c r="B11" s="62" t="s">
        <v>96</v>
      </c>
      <c r="C11" s="4">
        <f>C6</f>
        <v>151269.15111168002</v>
      </c>
      <c r="D11" s="4">
        <f>IF(D10="Yes",(D3*1.15)+D5,D6)</f>
        <v>408641.69331834</v>
      </c>
      <c r="E11" s="4">
        <f t="shared" ref="E11:F11" si="1">IF(E10="Yes",(E3*1.15)+E5,E6)</f>
        <v>17970.349294989996</v>
      </c>
      <c r="F11" s="4">
        <f t="shared" si="1"/>
        <v>12898.683616659997</v>
      </c>
      <c r="G11" s="4"/>
      <c r="H11" s="5" t="s">
        <v>117</v>
      </c>
    </row>
    <row r="12" spans="1:11" ht="24.75" customHeight="1" x14ac:dyDescent="0.3">
      <c r="A12" s="106"/>
      <c r="B12" s="6" t="s">
        <v>45</v>
      </c>
      <c r="C12" s="64">
        <f>C11*C7</f>
        <v>71096.50102248961</v>
      </c>
      <c r="D12" s="64">
        <f>D11*D7</f>
        <v>1270875.6662200373</v>
      </c>
      <c r="E12" s="64">
        <f>E11*E7</f>
        <v>55887.786307418886</v>
      </c>
      <c r="F12" s="64">
        <f>F11*F7</f>
        <v>40114.90604781259</v>
      </c>
      <c r="G12" s="64">
        <f>SUM(C12:F12)</f>
        <v>1437974.8595977584</v>
      </c>
      <c r="H12" s="5" t="s">
        <v>46</v>
      </c>
    </row>
    <row r="13" spans="1:11" x14ac:dyDescent="0.3">
      <c r="A13" s="107"/>
      <c r="B13" s="62" t="s">
        <v>47</v>
      </c>
      <c r="C13" s="4">
        <f>C8-C12</f>
        <v>0</v>
      </c>
      <c r="D13" s="4">
        <f>D8-D12</f>
        <v>0</v>
      </c>
      <c r="E13" s="4">
        <f>E8-E12</f>
        <v>0</v>
      </c>
      <c r="F13" s="4">
        <f>F8-F12</f>
        <v>0</v>
      </c>
      <c r="G13" s="4">
        <f>SUM(C13:F13)</f>
        <v>0</v>
      </c>
      <c r="H13" s="5" t="s">
        <v>74</v>
      </c>
    </row>
    <row r="14" spans="1:11" ht="13.5" customHeight="1" x14ac:dyDescent="0.3">
      <c r="A14" s="112" t="s">
        <v>53</v>
      </c>
      <c r="B14" s="115" t="s">
        <v>64</v>
      </c>
      <c r="C14" s="115"/>
      <c r="D14" s="82">
        <f>Table7214[[#Totals],[Unit (Minutes)]]</f>
        <v>58294.166666666664</v>
      </c>
      <c r="E14" s="4">
        <f>Table9235[[#Totals],[Unit (Minutes)]]</f>
        <v>0</v>
      </c>
      <c r="F14" s="83">
        <f>Table16296[[#Totals],[Unit (Minutes)]]</f>
        <v>0</v>
      </c>
      <c r="G14" s="58">
        <f>SUM(D14:F14)</f>
        <v>58294.166666666664</v>
      </c>
      <c r="H14" s="62"/>
    </row>
    <row r="15" spans="1:11" ht="15.75" customHeight="1" x14ac:dyDescent="0.3">
      <c r="A15" s="113"/>
      <c r="B15" s="115" t="s">
        <v>54</v>
      </c>
      <c r="C15" s="115"/>
      <c r="D15" s="62">
        <v>3.11</v>
      </c>
      <c r="E15" s="62">
        <v>3.11</v>
      </c>
      <c r="F15" s="62">
        <v>3.11</v>
      </c>
      <c r="G15" s="62">
        <v>3.11</v>
      </c>
      <c r="H15" s="62"/>
    </row>
    <row r="16" spans="1:11" ht="15.75" customHeight="1" x14ac:dyDescent="0.3">
      <c r="A16" s="114"/>
      <c r="B16" s="108" t="s">
        <v>97</v>
      </c>
      <c r="C16" s="108"/>
      <c r="D16" s="64">
        <f>D14*D15</f>
        <v>181294.85833333331</v>
      </c>
      <c r="E16" s="64">
        <f t="shared" ref="E16:F16" si="2">E14*E15</f>
        <v>0</v>
      </c>
      <c r="F16" s="64">
        <f t="shared" si="2"/>
        <v>0</v>
      </c>
      <c r="G16" s="65">
        <f>D16+E16+F16</f>
        <v>181294.85833333331</v>
      </c>
      <c r="H16" s="5" t="s">
        <v>60</v>
      </c>
    </row>
    <row r="17" spans="1:8" ht="18" customHeight="1" x14ac:dyDescent="0.3">
      <c r="A17" s="109" t="s">
        <v>98</v>
      </c>
      <c r="B17" s="110"/>
      <c r="C17" s="110"/>
      <c r="D17" s="110"/>
      <c r="E17" s="110"/>
      <c r="F17" s="111"/>
      <c r="G17" s="65">
        <f>G12+G16</f>
        <v>1619269.7179310918</v>
      </c>
      <c r="H17" s="5" t="s">
        <v>78</v>
      </c>
    </row>
    <row r="18" spans="1:8" ht="12.75" customHeight="1" x14ac:dyDescent="0.3">
      <c r="A18" s="97" t="s">
        <v>122</v>
      </c>
      <c r="B18" s="98"/>
      <c r="C18" s="95" t="s">
        <v>35</v>
      </c>
      <c r="D18" s="95"/>
      <c r="E18" s="95"/>
      <c r="F18" s="95"/>
      <c r="G18" s="75">
        <v>1</v>
      </c>
      <c r="H18" s="93" t="s">
        <v>101</v>
      </c>
    </row>
    <row r="19" spans="1:8" x14ac:dyDescent="0.3">
      <c r="A19" s="99"/>
      <c r="B19" s="100"/>
      <c r="C19" s="96" t="s">
        <v>103</v>
      </c>
      <c r="D19" s="96"/>
      <c r="E19" s="96"/>
      <c r="F19" s="96"/>
      <c r="G19" s="62">
        <f>IF(G18&gt;=0.997,0,IF(G18&gt;=0.987,G17*0.01,IF(G18&gt;=0.97,G17*0.03,IF(G18&gt;=0.95,G17*0.05,IF(G18&gt;=0.9,G17*0.1,G17*0.15)))))</f>
        <v>0</v>
      </c>
      <c r="H19" s="94"/>
    </row>
    <row r="20" spans="1:8" ht="15" customHeight="1" x14ac:dyDescent="0.3">
      <c r="A20" s="97" t="s">
        <v>123</v>
      </c>
      <c r="B20" s="98"/>
      <c r="C20" s="96" t="s">
        <v>36</v>
      </c>
      <c r="D20" s="96"/>
      <c r="E20" s="96"/>
      <c r="F20" s="96"/>
      <c r="G20" s="66">
        <f>'NOVEMBER 2025 IBD Data'!F380</f>
        <v>0.96390101892285296</v>
      </c>
      <c r="H20" s="93" t="s">
        <v>102</v>
      </c>
    </row>
    <row r="21" spans="1:8" x14ac:dyDescent="0.3">
      <c r="A21" s="99"/>
      <c r="B21" s="100"/>
      <c r="C21" s="96" t="s">
        <v>104</v>
      </c>
      <c r="D21" s="96"/>
      <c r="E21" s="96"/>
      <c r="F21" s="96"/>
      <c r="G21" s="62">
        <f>IF(G20&gt;=0.95,0,IF(G20&gt;=0.9,G17*0.05,IF(G20&gt;=0.85,G17*0.1,G17*0.15)))</f>
        <v>0</v>
      </c>
      <c r="H21" s="94"/>
    </row>
    <row r="22" spans="1:8" ht="25.5" customHeight="1" x14ac:dyDescent="0.3">
      <c r="A22" s="116" t="s">
        <v>124</v>
      </c>
      <c r="B22" s="117"/>
      <c r="C22" s="62" t="s">
        <v>24</v>
      </c>
      <c r="D22" s="8">
        <f>'NOVEMBER 2025 IBD Data'!F384</f>
        <v>0.99576484100208174</v>
      </c>
      <c r="E22" s="8">
        <f>'NOVEMBER 2025 IBD Data'!F385</f>
        <v>1</v>
      </c>
      <c r="F22" s="8">
        <f>'NOVEMBER 2025 IBD Data'!F386</f>
        <v>0.99025341130604283</v>
      </c>
      <c r="G22" s="62"/>
      <c r="H22" s="93" t="s">
        <v>120</v>
      </c>
    </row>
    <row r="23" spans="1:8" x14ac:dyDescent="0.3">
      <c r="A23" s="118"/>
      <c r="B23" s="119"/>
      <c r="C23" s="62" t="s">
        <v>105</v>
      </c>
      <c r="D23" s="3">
        <f>IF(D22&gt;=0.95,0,IF(D22&gt;=0.85,D12*0.05,D12*0.1))</f>
        <v>0</v>
      </c>
      <c r="E23" s="3">
        <f>IF(E22&gt;=0.95,0,IF(E22&gt;=0.85,E12*0.05,E12*0.1))</f>
        <v>0</v>
      </c>
      <c r="F23" s="3">
        <f>IF(F22&gt;=0.95,0,IF(F22&gt;=0.85,F12*0.05,F12*0.1))</f>
        <v>0</v>
      </c>
      <c r="G23" s="4">
        <f>D23+E23+F23</f>
        <v>0</v>
      </c>
      <c r="H23" s="94"/>
    </row>
    <row r="24" spans="1:8" x14ac:dyDescent="0.3">
      <c r="A24" s="97" t="s">
        <v>125</v>
      </c>
      <c r="B24" s="98"/>
      <c r="C24" s="95" t="s">
        <v>25</v>
      </c>
      <c r="D24" s="95"/>
      <c r="E24" s="95"/>
      <c r="F24" s="95"/>
      <c r="G24" s="76">
        <v>2.25</v>
      </c>
      <c r="H24" s="93" t="s">
        <v>62</v>
      </c>
    </row>
    <row r="25" spans="1:8" x14ac:dyDescent="0.3">
      <c r="A25" s="99"/>
      <c r="B25" s="100"/>
      <c r="C25" s="96" t="s">
        <v>106</v>
      </c>
      <c r="D25" s="96"/>
      <c r="E25" s="96"/>
      <c r="F25" s="96"/>
      <c r="G25" s="62">
        <f>IF(G24&gt;=2,0,IF(G24&lt;1.1,G17*0.05,G17*0.03))</f>
        <v>0</v>
      </c>
      <c r="H25" s="94"/>
    </row>
    <row r="26" spans="1:8" ht="12.75" customHeight="1" x14ac:dyDescent="0.3">
      <c r="A26" s="97" t="s">
        <v>126</v>
      </c>
      <c r="B26" s="98"/>
      <c r="C26" s="96" t="s">
        <v>26</v>
      </c>
      <c r="D26" s="96"/>
      <c r="E26" s="96"/>
      <c r="F26" s="96"/>
      <c r="G26" s="8">
        <f>'NOVEMBER 2025 IBD Data'!F396</f>
        <v>1.0090779503338585E-2</v>
      </c>
      <c r="H26" s="93" t="s">
        <v>121</v>
      </c>
    </row>
    <row r="27" spans="1:8" x14ac:dyDescent="0.3">
      <c r="A27" s="99"/>
      <c r="B27" s="100"/>
      <c r="C27" s="96" t="s">
        <v>107</v>
      </c>
      <c r="D27" s="96"/>
      <c r="E27" s="96"/>
      <c r="F27" s="96"/>
      <c r="G27" s="4">
        <f>IF(G26&lt;0.05,0,IF(G26&gt;0.1,G17*0.1,G17*0.05))</f>
        <v>0</v>
      </c>
      <c r="H27" s="94"/>
    </row>
    <row r="28" spans="1:8" x14ac:dyDescent="0.3">
      <c r="A28" s="97" t="s">
        <v>127</v>
      </c>
      <c r="B28" s="98"/>
      <c r="C28" s="95" t="s">
        <v>27</v>
      </c>
      <c r="D28" s="95"/>
      <c r="E28" s="95"/>
      <c r="F28" s="95"/>
      <c r="G28" s="77">
        <v>86</v>
      </c>
      <c r="H28" s="93" t="s">
        <v>63</v>
      </c>
    </row>
    <row r="29" spans="1:8" x14ac:dyDescent="0.3">
      <c r="A29" s="99"/>
      <c r="B29" s="100"/>
      <c r="C29" s="96" t="s">
        <v>108</v>
      </c>
      <c r="D29" s="96"/>
      <c r="E29" s="96"/>
      <c r="F29" s="96"/>
      <c r="G29" s="62">
        <f>IF(G28&gt;85,0,IF(G28&gt;80,G17*0.02,IF(G28&gt;=75,G17*0.05,G17*0.1)))</f>
        <v>0</v>
      </c>
      <c r="H29" s="94"/>
    </row>
    <row r="30" spans="1:8" x14ac:dyDescent="0.3">
      <c r="A30" s="97" t="s">
        <v>23</v>
      </c>
      <c r="B30" s="98"/>
      <c r="C30" s="96" t="s">
        <v>109</v>
      </c>
      <c r="D30" s="96"/>
      <c r="E30" s="96"/>
      <c r="F30" s="96"/>
      <c r="G30" s="4">
        <f>G19+G21+G23+G25+G27+G29</f>
        <v>0</v>
      </c>
      <c r="H30" s="5" t="s">
        <v>110</v>
      </c>
    </row>
    <row r="31" spans="1:8" x14ac:dyDescent="0.3">
      <c r="A31" s="123"/>
      <c r="B31" s="124"/>
      <c r="C31" s="96" t="s">
        <v>111</v>
      </c>
      <c r="D31" s="96"/>
      <c r="E31" s="96"/>
      <c r="F31" s="96"/>
      <c r="G31" s="8">
        <f>G30/G17</f>
        <v>0</v>
      </c>
      <c r="H31" s="5" t="s">
        <v>113</v>
      </c>
    </row>
    <row r="32" spans="1:8" ht="12.75" customHeight="1" x14ac:dyDescent="0.3">
      <c r="A32" s="123"/>
      <c r="B32" s="124"/>
      <c r="C32" s="96" t="s">
        <v>112</v>
      </c>
      <c r="D32" s="96"/>
      <c r="E32" s="96"/>
      <c r="F32" s="96"/>
      <c r="G32" s="4">
        <f>G17*0.2</f>
        <v>323853.9435862184</v>
      </c>
      <c r="H32" s="5" t="s">
        <v>114</v>
      </c>
    </row>
    <row r="33" spans="1:8" ht="15.5" x14ac:dyDescent="0.3">
      <c r="A33" s="120" t="s">
        <v>118</v>
      </c>
      <c r="B33" s="121"/>
      <c r="C33" s="121"/>
      <c r="D33" s="121"/>
      <c r="E33" s="121"/>
      <c r="F33" s="122"/>
      <c r="G33" s="63">
        <f>G17</f>
        <v>1619269.7179310918</v>
      </c>
      <c r="H33" s="5"/>
    </row>
    <row r="34" spans="1:8" ht="19.5" customHeight="1" x14ac:dyDescent="0.3"/>
    <row r="35" spans="1:8" ht="24.75" customHeight="1" x14ac:dyDescent="0.3">
      <c r="H35" s="58"/>
    </row>
  </sheetData>
  <mergeCells count="35">
    <mergeCell ref="A22:B23"/>
    <mergeCell ref="A33:F33"/>
    <mergeCell ref="H26:H27"/>
    <mergeCell ref="H24:H25"/>
    <mergeCell ref="A26:B27"/>
    <mergeCell ref="C26:F26"/>
    <mergeCell ref="C27:F27"/>
    <mergeCell ref="A28:B29"/>
    <mergeCell ref="C28:F28"/>
    <mergeCell ref="C29:F29"/>
    <mergeCell ref="A30:B32"/>
    <mergeCell ref="C30:F30"/>
    <mergeCell ref="C31:F31"/>
    <mergeCell ref="C32:F32"/>
    <mergeCell ref="A24:B25"/>
    <mergeCell ref="H28:H29"/>
    <mergeCell ref="A20:B21"/>
    <mergeCell ref="C20:F20"/>
    <mergeCell ref="C21:F21"/>
    <mergeCell ref="A1:H1"/>
    <mergeCell ref="A2:B2"/>
    <mergeCell ref="A18:B19"/>
    <mergeCell ref="C18:F18"/>
    <mergeCell ref="C19:F19"/>
    <mergeCell ref="A3:A13"/>
    <mergeCell ref="B16:C16"/>
    <mergeCell ref="A17:F17"/>
    <mergeCell ref="A14:A16"/>
    <mergeCell ref="B14:C14"/>
    <mergeCell ref="B15:C15"/>
    <mergeCell ref="H22:H23"/>
    <mergeCell ref="C24:F24"/>
    <mergeCell ref="C25:F25"/>
    <mergeCell ref="H20:H21"/>
    <mergeCell ref="H18:H19"/>
  </mergeCells>
  <pageMargins left="0.70866141732283472" right="0.3" top="0.27" bottom="0.24" header="0.17" footer="0.16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4"/>
  <sheetViews>
    <sheetView tabSelected="1" topLeftCell="A349" zoomScale="96" zoomScaleNormal="96" workbookViewId="0">
      <selection activeCell="H380" sqref="H380"/>
    </sheetView>
  </sheetViews>
  <sheetFormatPr defaultColWidth="9.1796875" defaultRowHeight="15" customHeight="1" x14ac:dyDescent="0.35"/>
  <cols>
    <col min="1" max="1" width="14.6328125" style="38" customWidth="1"/>
    <col min="2" max="2" width="13.1796875" style="26" customWidth="1"/>
    <col min="3" max="3" width="11.1796875" style="26" customWidth="1"/>
    <col min="4" max="4" width="13.54296875" style="26" customWidth="1"/>
    <col min="5" max="5" width="13.453125" style="26" customWidth="1"/>
    <col min="6" max="6" width="13.453125" style="26" bestFit="1" customWidth="1"/>
    <col min="7" max="7" width="14" style="26" customWidth="1"/>
    <col min="8" max="8" width="16.90625" style="26" customWidth="1"/>
    <col min="9" max="16384" width="9.1796875" style="26"/>
  </cols>
  <sheetData>
    <row r="1" spans="1:7" ht="15" customHeight="1" x14ac:dyDescent="0.35">
      <c r="A1" s="125" t="s">
        <v>5</v>
      </c>
      <c r="B1" s="125"/>
      <c r="C1" s="125"/>
      <c r="D1" s="125"/>
      <c r="E1" s="125"/>
      <c r="F1" s="125"/>
      <c r="G1" s="125"/>
    </row>
    <row r="2" spans="1:7" s="40" customFormat="1" ht="15" customHeight="1" x14ac:dyDescent="0.35">
      <c r="A2" s="126" t="s">
        <v>11</v>
      </c>
      <c r="B2" s="126"/>
      <c r="C2" s="126"/>
      <c r="D2" s="126"/>
      <c r="E2" s="126"/>
      <c r="F2" s="126"/>
      <c r="G2" s="39">
        <v>120</v>
      </c>
    </row>
    <row r="3" spans="1:7" s="40" customFormat="1" ht="15" customHeight="1" x14ac:dyDescent="0.35">
      <c r="A3" s="126" t="s">
        <v>14</v>
      </c>
      <c r="B3" s="126"/>
      <c r="C3" s="126"/>
      <c r="D3" s="126"/>
      <c r="E3" s="126"/>
      <c r="F3" s="126"/>
      <c r="G3" s="126"/>
    </row>
    <row r="4" spans="1:7" s="40" customFormat="1" ht="15" customHeight="1" x14ac:dyDescent="0.35">
      <c r="A4" s="126" t="s">
        <v>89</v>
      </c>
      <c r="B4" s="126"/>
      <c r="C4" s="126"/>
      <c r="D4" s="126"/>
      <c r="E4" s="126"/>
      <c r="F4" s="126"/>
      <c r="G4" s="126"/>
    </row>
    <row r="5" spans="1:7" ht="26" x14ac:dyDescent="0.35">
      <c r="A5" s="19" t="s">
        <v>6</v>
      </c>
      <c r="B5" s="19" t="s">
        <v>8</v>
      </c>
      <c r="C5" s="19" t="s">
        <v>7</v>
      </c>
      <c r="D5" s="19" t="s">
        <v>9</v>
      </c>
      <c r="E5" s="19" t="s">
        <v>10</v>
      </c>
      <c r="F5" s="19" t="s">
        <v>12</v>
      </c>
      <c r="G5" s="19" t="s">
        <v>13</v>
      </c>
    </row>
    <row r="6" spans="1:7" ht="15" customHeight="1" x14ac:dyDescent="0.35">
      <c r="A6" s="20">
        <v>45962</v>
      </c>
      <c r="B6" s="22">
        <v>54.696399999999997</v>
      </c>
      <c r="C6" s="23">
        <v>6235</v>
      </c>
      <c r="D6" s="22">
        <v>341032.054</v>
      </c>
      <c r="E6" s="23">
        <v>748200</v>
      </c>
      <c r="F6" s="22">
        <v>341032.054</v>
      </c>
      <c r="G6" s="22">
        <v>5683.8675666700001</v>
      </c>
    </row>
    <row r="7" spans="1:7" ht="15" customHeight="1" x14ac:dyDescent="0.35">
      <c r="A7" s="20">
        <v>45963</v>
      </c>
      <c r="B7" s="22">
        <v>54.274099999999997</v>
      </c>
      <c r="C7" s="23">
        <v>5097</v>
      </c>
      <c r="D7" s="22">
        <v>276635.08769999997</v>
      </c>
      <c r="E7" s="23">
        <v>611640</v>
      </c>
      <c r="F7" s="22">
        <v>276635.08769999997</v>
      </c>
      <c r="G7" s="22">
        <v>4610.5847949999998</v>
      </c>
    </row>
    <row r="8" spans="1:7" ht="15" customHeight="1" x14ac:dyDescent="0.35">
      <c r="A8" s="20">
        <v>45964</v>
      </c>
      <c r="B8" s="22">
        <v>55.3812</v>
      </c>
      <c r="C8" s="23">
        <v>5958</v>
      </c>
      <c r="D8" s="22">
        <v>329961.18959999998</v>
      </c>
      <c r="E8" s="23">
        <v>714960</v>
      </c>
      <c r="F8" s="22">
        <v>329961.18959999998</v>
      </c>
      <c r="G8" s="22">
        <v>5499.3531599999997</v>
      </c>
    </row>
    <row r="9" spans="1:7" ht="15" customHeight="1" x14ac:dyDescent="0.35">
      <c r="A9" s="20">
        <v>45965</v>
      </c>
      <c r="B9" s="22">
        <v>55.4283</v>
      </c>
      <c r="C9" s="23">
        <v>6420</v>
      </c>
      <c r="D9" s="22">
        <v>355849.68599999999</v>
      </c>
      <c r="E9" s="23">
        <v>770400</v>
      </c>
      <c r="F9" s="22">
        <v>355849.68599999999</v>
      </c>
      <c r="G9" s="22">
        <v>5930.8280999999997</v>
      </c>
    </row>
    <row r="10" spans="1:7" ht="15" customHeight="1" x14ac:dyDescent="0.35">
      <c r="A10" s="20">
        <v>45966</v>
      </c>
      <c r="B10" s="22">
        <v>54.824599999999997</v>
      </c>
      <c r="C10" s="23">
        <v>5689</v>
      </c>
      <c r="D10" s="22">
        <v>311897.14939999999</v>
      </c>
      <c r="E10" s="23">
        <v>682680</v>
      </c>
      <c r="F10" s="22">
        <v>311897.14939999999</v>
      </c>
      <c r="G10" s="22">
        <v>5198.2858233300003</v>
      </c>
    </row>
    <row r="11" spans="1:7" ht="15" customHeight="1" x14ac:dyDescent="0.35">
      <c r="A11" s="20">
        <v>45967</v>
      </c>
      <c r="B11" s="22">
        <v>52.677999999999997</v>
      </c>
      <c r="C11" s="23">
        <v>6466</v>
      </c>
      <c r="D11" s="22">
        <v>340615.94799999997</v>
      </c>
      <c r="E11" s="23">
        <v>775920</v>
      </c>
      <c r="F11" s="22">
        <v>340615.94799999997</v>
      </c>
      <c r="G11" s="22">
        <v>5676.9324666700004</v>
      </c>
    </row>
    <row r="12" spans="1:7" ht="15" customHeight="1" x14ac:dyDescent="0.35">
      <c r="A12" s="20">
        <v>45968</v>
      </c>
      <c r="B12" s="22">
        <v>55.351999999999997</v>
      </c>
      <c r="C12" s="23">
        <v>6694</v>
      </c>
      <c r="D12" s="22">
        <v>370526.288</v>
      </c>
      <c r="E12" s="23">
        <v>803280</v>
      </c>
      <c r="F12" s="22">
        <v>370526.288</v>
      </c>
      <c r="G12" s="22">
        <v>6175.4381333299998</v>
      </c>
    </row>
    <row r="13" spans="1:7" ht="15" customHeight="1" x14ac:dyDescent="0.35">
      <c r="A13" s="20">
        <v>45969</v>
      </c>
      <c r="B13" s="22">
        <v>54.033700000000003</v>
      </c>
      <c r="C13" s="23">
        <v>5882</v>
      </c>
      <c r="D13" s="22">
        <v>317826.22340000002</v>
      </c>
      <c r="E13" s="23">
        <v>705840</v>
      </c>
      <c r="F13" s="22">
        <v>317826.22340000002</v>
      </c>
      <c r="G13" s="22">
        <v>5297.1037233300003</v>
      </c>
    </row>
    <row r="14" spans="1:7" ht="15" customHeight="1" x14ac:dyDescent="0.35">
      <c r="A14" s="20">
        <v>45970</v>
      </c>
      <c r="B14" s="22">
        <v>53.771299999999997</v>
      </c>
      <c r="C14" s="23">
        <v>5033</v>
      </c>
      <c r="D14" s="22">
        <v>270630.95289999997</v>
      </c>
      <c r="E14" s="23">
        <v>603960</v>
      </c>
      <c r="F14" s="22">
        <v>270630.95289999997</v>
      </c>
      <c r="G14" s="22">
        <v>4510.5158816700005</v>
      </c>
    </row>
    <row r="15" spans="1:7" ht="15" customHeight="1" x14ac:dyDescent="0.35">
      <c r="A15" s="20">
        <v>45971</v>
      </c>
      <c r="B15" s="22">
        <v>52.6496</v>
      </c>
      <c r="C15" s="23">
        <v>6121</v>
      </c>
      <c r="D15" s="22">
        <v>322268.20159999997</v>
      </c>
      <c r="E15" s="23">
        <v>734520</v>
      </c>
      <c r="F15" s="22">
        <v>322268.20159999997</v>
      </c>
      <c r="G15" s="22">
        <v>5371.1366933299996</v>
      </c>
    </row>
    <row r="16" spans="1:7" ht="15" customHeight="1" x14ac:dyDescent="0.35">
      <c r="A16" s="20">
        <v>45972</v>
      </c>
      <c r="B16" s="22">
        <v>56.3262</v>
      </c>
      <c r="C16" s="23">
        <v>5901</v>
      </c>
      <c r="D16" s="22">
        <v>332380.90620000003</v>
      </c>
      <c r="E16" s="23">
        <v>708120</v>
      </c>
      <c r="F16" s="22">
        <v>332380.90620000003</v>
      </c>
      <c r="G16" s="22">
        <v>5539.6817700000001</v>
      </c>
    </row>
    <row r="17" spans="1:7" ht="15" customHeight="1" x14ac:dyDescent="0.35">
      <c r="A17" s="20">
        <v>45973</v>
      </c>
      <c r="B17" s="22">
        <v>54.887300000000003</v>
      </c>
      <c r="C17" s="23">
        <v>5944</v>
      </c>
      <c r="D17" s="22">
        <v>326250.11119999998</v>
      </c>
      <c r="E17" s="23">
        <v>713280</v>
      </c>
      <c r="F17" s="22">
        <v>326250.11119999998</v>
      </c>
      <c r="G17" s="22">
        <v>5437.5018533299999</v>
      </c>
    </row>
    <row r="18" spans="1:7" ht="15" customHeight="1" x14ac:dyDescent="0.35">
      <c r="A18" s="20">
        <v>45974</v>
      </c>
      <c r="B18" s="22">
        <v>54.556699999999999</v>
      </c>
      <c r="C18" s="23">
        <v>6539</v>
      </c>
      <c r="D18" s="22">
        <v>356746.26130000001</v>
      </c>
      <c r="E18" s="23">
        <v>784680</v>
      </c>
      <c r="F18" s="22">
        <v>356746.26130000001</v>
      </c>
      <c r="G18" s="22">
        <v>5945.7710216699998</v>
      </c>
    </row>
    <row r="19" spans="1:7" ht="15" customHeight="1" x14ac:dyDescent="0.35">
      <c r="A19" s="20">
        <v>45975</v>
      </c>
      <c r="B19" s="22">
        <v>54.9191</v>
      </c>
      <c r="C19" s="23">
        <v>6463</v>
      </c>
      <c r="D19" s="22">
        <v>354942.1433</v>
      </c>
      <c r="E19" s="23">
        <v>775560</v>
      </c>
      <c r="F19" s="22">
        <v>354942.1433</v>
      </c>
      <c r="G19" s="22">
        <v>5915.7023883299998</v>
      </c>
    </row>
    <row r="20" spans="1:7" ht="15" customHeight="1" x14ac:dyDescent="0.35">
      <c r="A20" s="20">
        <v>45976</v>
      </c>
      <c r="B20" s="22">
        <v>55.693100000000001</v>
      </c>
      <c r="C20" s="23">
        <v>6371</v>
      </c>
      <c r="D20" s="22">
        <v>354820.7401</v>
      </c>
      <c r="E20" s="23">
        <v>764520</v>
      </c>
      <c r="F20" s="22">
        <v>354820.7401</v>
      </c>
      <c r="G20" s="22">
        <v>5913.6790016699997</v>
      </c>
    </row>
    <row r="21" spans="1:7" ht="15" customHeight="1" x14ac:dyDescent="0.35">
      <c r="A21" s="20">
        <v>45977</v>
      </c>
      <c r="B21" s="22">
        <v>54.7958</v>
      </c>
      <c r="C21" s="23">
        <v>5156</v>
      </c>
      <c r="D21" s="22">
        <v>282527.14480000001</v>
      </c>
      <c r="E21" s="23">
        <v>618720</v>
      </c>
      <c r="F21" s="22">
        <v>282527.14480000001</v>
      </c>
      <c r="G21" s="22">
        <v>4708.7857466699998</v>
      </c>
    </row>
    <row r="22" spans="1:7" ht="15" customHeight="1" x14ac:dyDescent="0.35">
      <c r="A22" s="20">
        <v>45978</v>
      </c>
      <c r="B22" s="22">
        <v>47.1526</v>
      </c>
      <c r="C22" s="23">
        <v>5896</v>
      </c>
      <c r="D22" s="22">
        <v>278011.72960000002</v>
      </c>
      <c r="E22" s="23">
        <v>707520</v>
      </c>
      <c r="F22" s="22">
        <v>278011.72960000002</v>
      </c>
      <c r="G22" s="22">
        <v>4633.5288266699999</v>
      </c>
    </row>
    <row r="23" spans="1:7" ht="15" customHeight="1" x14ac:dyDescent="0.35">
      <c r="A23" s="20">
        <v>45979</v>
      </c>
      <c r="B23" s="22">
        <v>45.205599999999997</v>
      </c>
      <c r="C23" s="23">
        <v>5919</v>
      </c>
      <c r="D23" s="22">
        <v>267571.94640000002</v>
      </c>
      <c r="E23" s="23">
        <v>710280</v>
      </c>
      <c r="F23" s="22">
        <v>267571.94640000002</v>
      </c>
      <c r="G23" s="22">
        <v>4459.53244</v>
      </c>
    </row>
    <row r="24" spans="1:7" ht="15" customHeight="1" x14ac:dyDescent="0.35">
      <c r="A24" s="20">
        <v>45980</v>
      </c>
      <c r="B24" s="22">
        <v>48.443800000000003</v>
      </c>
      <c r="C24" s="23">
        <v>6178</v>
      </c>
      <c r="D24" s="22">
        <v>299285.79639999999</v>
      </c>
      <c r="E24" s="23">
        <v>741360</v>
      </c>
      <c r="F24" s="22">
        <v>299285.79639999999</v>
      </c>
      <c r="G24" s="22">
        <v>4988.0966066700003</v>
      </c>
    </row>
    <row r="25" spans="1:7" ht="15" customHeight="1" x14ac:dyDescent="0.35">
      <c r="A25" s="20">
        <v>45981</v>
      </c>
      <c r="B25" s="22">
        <v>45.3035</v>
      </c>
      <c r="C25" s="23">
        <v>5528</v>
      </c>
      <c r="D25" s="22">
        <v>250437.74799999999</v>
      </c>
      <c r="E25" s="23">
        <v>663360</v>
      </c>
      <c r="F25" s="22">
        <v>250437.74799999999</v>
      </c>
      <c r="G25" s="22">
        <v>4173.9624666700001</v>
      </c>
    </row>
    <row r="26" spans="1:7" ht="15" customHeight="1" x14ac:dyDescent="0.35">
      <c r="A26" s="20">
        <v>45982</v>
      </c>
      <c r="B26" s="22">
        <v>44.982900000000001</v>
      </c>
      <c r="C26" s="23">
        <v>5664</v>
      </c>
      <c r="D26" s="22">
        <v>254783.14559999999</v>
      </c>
      <c r="E26" s="23">
        <v>679680</v>
      </c>
      <c r="F26" s="22">
        <v>254783.14559999999</v>
      </c>
      <c r="G26" s="22">
        <v>4246.3857600000001</v>
      </c>
    </row>
    <row r="27" spans="1:7" ht="15" customHeight="1" x14ac:dyDescent="0.35">
      <c r="A27" s="20">
        <v>45983</v>
      </c>
      <c r="B27" s="22">
        <v>46.645299999999999</v>
      </c>
      <c r="C27" s="23">
        <v>5797</v>
      </c>
      <c r="D27" s="22">
        <v>270402.80410000001</v>
      </c>
      <c r="E27" s="23">
        <v>695640</v>
      </c>
      <c r="F27" s="22">
        <v>270402.80410000001</v>
      </c>
      <c r="G27" s="22">
        <v>4506.7134016700002</v>
      </c>
    </row>
    <row r="28" spans="1:7" ht="15" customHeight="1" x14ac:dyDescent="0.35">
      <c r="A28" s="20">
        <v>45984</v>
      </c>
      <c r="B28" s="22">
        <v>49.7639</v>
      </c>
      <c r="C28" s="23">
        <v>4571</v>
      </c>
      <c r="D28" s="22">
        <v>227470.78690000001</v>
      </c>
      <c r="E28" s="23">
        <v>548520</v>
      </c>
      <c r="F28" s="22">
        <v>227470.78690000001</v>
      </c>
      <c r="G28" s="22">
        <v>3791.17978167</v>
      </c>
    </row>
    <row r="29" spans="1:7" ht="15" customHeight="1" x14ac:dyDescent="0.35">
      <c r="A29" s="20">
        <v>45985</v>
      </c>
      <c r="B29" s="22">
        <v>46.026200000000003</v>
      </c>
      <c r="C29" s="23">
        <v>6609</v>
      </c>
      <c r="D29" s="22">
        <v>304187.15580000001</v>
      </c>
      <c r="E29" s="23">
        <v>793080</v>
      </c>
      <c r="F29" s="22">
        <v>304187.15580000001</v>
      </c>
      <c r="G29" s="22">
        <v>5069.78593</v>
      </c>
    </row>
    <row r="30" spans="1:7" ht="15" customHeight="1" x14ac:dyDescent="0.35">
      <c r="A30" s="20">
        <v>45986</v>
      </c>
      <c r="B30" s="22">
        <v>46.515000000000001</v>
      </c>
      <c r="C30" s="23">
        <v>6882</v>
      </c>
      <c r="D30" s="22">
        <v>320116.23</v>
      </c>
      <c r="E30" s="23">
        <v>825840</v>
      </c>
      <c r="F30" s="22">
        <v>320116.23</v>
      </c>
      <c r="G30" s="22">
        <v>5335.2704999999996</v>
      </c>
    </row>
    <row r="31" spans="1:7" ht="15" customHeight="1" x14ac:dyDescent="0.35">
      <c r="A31" s="20">
        <v>45987</v>
      </c>
      <c r="B31" s="22">
        <v>48.445099999999996</v>
      </c>
      <c r="C31" s="23">
        <v>6871</v>
      </c>
      <c r="D31" s="22">
        <v>332866.28210000001</v>
      </c>
      <c r="E31" s="23">
        <v>824520</v>
      </c>
      <c r="F31" s="22">
        <v>332866.28210000001</v>
      </c>
      <c r="G31" s="22">
        <v>5547.7713683299999</v>
      </c>
    </row>
    <row r="32" spans="1:7" ht="15" customHeight="1" x14ac:dyDescent="0.35">
      <c r="A32" s="20">
        <v>45988</v>
      </c>
      <c r="B32" s="22">
        <v>48.991999999999997</v>
      </c>
      <c r="C32" s="23">
        <v>6112</v>
      </c>
      <c r="D32" s="22">
        <v>299439.10399999999</v>
      </c>
      <c r="E32" s="23">
        <v>733440</v>
      </c>
      <c r="F32" s="22">
        <v>299439.10399999999</v>
      </c>
      <c r="G32" s="22">
        <v>4990.6517333299998</v>
      </c>
    </row>
    <row r="33" spans="1:7" ht="15" customHeight="1" x14ac:dyDescent="0.35">
      <c r="A33" s="20">
        <v>45989</v>
      </c>
      <c r="B33" s="22">
        <v>44.008099999999999</v>
      </c>
      <c r="C33" s="23">
        <v>5588</v>
      </c>
      <c r="D33" s="22">
        <v>245917.2628</v>
      </c>
      <c r="E33" s="23">
        <v>670560</v>
      </c>
      <c r="F33" s="22">
        <v>245917.2628</v>
      </c>
      <c r="G33" s="22">
        <v>4098.6210466700004</v>
      </c>
    </row>
    <row r="34" spans="1:7" ht="15" customHeight="1" x14ac:dyDescent="0.35">
      <c r="A34" s="20">
        <v>45990</v>
      </c>
      <c r="B34" s="22">
        <v>46.706699999999998</v>
      </c>
      <c r="C34" s="23">
        <v>6025</v>
      </c>
      <c r="D34" s="22">
        <v>281407.86749999999</v>
      </c>
      <c r="E34" s="23">
        <v>723000</v>
      </c>
      <c r="F34" s="22">
        <v>281407.86749999999</v>
      </c>
      <c r="G34" s="22">
        <v>4690.1311249999999</v>
      </c>
    </row>
    <row r="35" spans="1:7" ht="15" customHeight="1" x14ac:dyDescent="0.35">
      <c r="A35" s="20">
        <v>45991</v>
      </c>
      <c r="B35" s="22">
        <v>45.3048</v>
      </c>
      <c r="C35" s="23">
        <v>4400</v>
      </c>
      <c r="D35" s="22">
        <v>199341.12</v>
      </c>
      <c r="E35" s="23">
        <v>528000</v>
      </c>
      <c r="F35" s="22">
        <v>199341.12</v>
      </c>
      <c r="G35" s="22">
        <v>3322.3519999999999</v>
      </c>
    </row>
    <row r="36" spans="1:7" ht="15" customHeight="1" x14ac:dyDescent="0.35">
      <c r="A36" s="20"/>
      <c r="B36" s="22"/>
      <c r="C36" s="23"/>
      <c r="D36" s="22"/>
      <c r="E36" s="23"/>
      <c r="F36" s="22"/>
      <c r="G36" s="22"/>
    </row>
    <row r="37" spans="1:7" ht="15" customHeight="1" x14ac:dyDescent="0.35">
      <c r="A37" s="24"/>
      <c r="B37" s="21"/>
      <c r="C37" s="21">
        <f>SUBTOTAL(109,Table418[Call Count])</f>
        <v>178009</v>
      </c>
      <c r="D37" s="21">
        <f>SUBTOTAL(109,D6:D36)</f>
        <v>9076149.0666999985</v>
      </c>
      <c r="E37" s="21">
        <f>SUBTOTAL(109,E6:E36)</f>
        <v>21361080</v>
      </c>
      <c r="F37" s="21">
        <f>SUBTOTAL(109,F6:F36)</f>
        <v>9076149.0666999985</v>
      </c>
      <c r="G37" s="50">
        <f>SUBTOTAL(109,Table418[Unit (Minutes)])</f>
        <v>151269.15111168002</v>
      </c>
    </row>
    <row r="38" spans="1:7" ht="15" customHeight="1" x14ac:dyDescent="0.35">
      <c r="A38" s="25"/>
    </row>
    <row r="39" spans="1:7" s="40" customFormat="1" ht="15" customHeight="1" x14ac:dyDescent="0.35">
      <c r="A39" s="126" t="s">
        <v>90</v>
      </c>
      <c r="B39" s="126"/>
      <c r="C39" s="126"/>
      <c r="D39" s="126"/>
      <c r="E39" s="126"/>
      <c r="F39" s="126"/>
      <c r="G39" s="126"/>
    </row>
    <row r="40" spans="1:7" ht="26" x14ac:dyDescent="0.35">
      <c r="A40" s="19" t="s">
        <v>6</v>
      </c>
      <c r="B40" s="19" t="s">
        <v>8</v>
      </c>
      <c r="C40" s="19" t="s">
        <v>7</v>
      </c>
      <c r="D40" s="19" t="s">
        <v>9</v>
      </c>
      <c r="E40" s="19" t="s">
        <v>10</v>
      </c>
      <c r="F40" s="19" t="s">
        <v>12</v>
      </c>
      <c r="G40" s="19" t="s">
        <v>13</v>
      </c>
    </row>
    <row r="41" spans="1:7" ht="15" customHeight="1" x14ac:dyDescent="0.35">
      <c r="A41" s="20"/>
      <c r="B41" s="22"/>
      <c r="C41" s="23"/>
      <c r="D41" s="22"/>
      <c r="E41" s="23"/>
      <c r="F41" s="22"/>
      <c r="G41" s="22"/>
    </row>
    <row r="42" spans="1:7" ht="15" customHeight="1" x14ac:dyDescent="0.35">
      <c r="A42" s="20"/>
      <c r="B42" s="22"/>
      <c r="C42" s="23"/>
      <c r="D42" s="22"/>
      <c r="E42" s="23"/>
      <c r="F42" s="22"/>
      <c r="G42" s="22"/>
    </row>
    <row r="43" spans="1:7" ht="15" customHeight="1" x14ac:dyDescent="0.35">
      <c r="A43" s="20"/>
      <c r="B43" s="22"/>
      <c r="C43" s="23"/>
      <c r="D43" s="22"/>
      <c r="E43" s="23"/>
      <c r="F43" s="22"/>
      <c r="G43" s="22"/>
    </row>
    <row r="44" spans="1:7" ht="15" customHeight="1" x14ac:dyDescent="0.35">
      <c r="A44" s="20"/>
      <c r="B44" s="22"/>
      <c r="C44" s="23"/>
      <c r="D44" s="22"/>
      <c r="E44" s="23"/>
      <c r="F44" s="22"/>
      <c r="G44" s="22"/>
    </row>
    <row r="45" spans="1:7" ht="15" customHeight="1" x14ac:dyDescent="0.35">
      <c r="A45" s="20"/>
      <c r="B45" s="22"/>
      <c r="C45" s="23"/>
      <c r="D45" s="22"/>
      <c r="E45" s="23"/>
      <c r="F45" s="22"/>
      <c r="G45" s="22"/>
    </row>
    <row r="46" spans="1:7" ht="15" customHeight="1" x14ac:dyDescent="0.35">
      <c r="A46" s="20"/>
      <c r="B46" s="22"/>
      <c r="C46" s="23"/>
      <c r="D46" s="22"/>
      <c r="E46" s="23"/>
      <c r="F46" s="22"/>
      <c r="G46" s="22"/>
    </row>
    <row r="47" spans="1:7" ht="15" customHeight="1" x14ac:dyDescent="0.35">
      <c r="A47" s="20"/>
      <c r="B47" s="22"/>
      <c r="C47" s="23"/>
      <c r="D47" s="22"/>
      <c r="E47" s="23"/>
      <c r="F47" s="22"/>
      <c r="G47" s="22"/>
    </row>
    <row r="48" spans="1:7" ht="15" customHeight="1" x14ac:dyDescent="0.35">
      <c r="A48" s="20"/>
      <c r="B48" s="22"/>
      <c r="C48" s="23"/>
      <c r="D48" s="22"/>
      <c r="E48" s="23"/>
      <c r="F48" s="22"/>
      <c r="G48" s="22"/>
    </row>
    <row r="49" spans="1:7" ht="15" customHeight="1" x14ac:dyDescent="0.35">
      <c r="A49" s="20"/>
      <c r="B49" s="22"/>
      <c r="C49" s="23"/>
      <c r="D49" s="22"/>
      <c r="E49" s="23"/>
      <c r="F49" s="22"/>
      <c r="G49" s="22"/>
    </row>
    <row r="50" spans="1:7" ht="15" customHeight="1" x14ac:dyDescent="0.35">
      <c r="A50" s="20"/>
      <c r="B50" s="22"/>
      <c r="C50" s="23"/>
      <c r="D50" s="22"/>
      <c r="E50" s="23"/>
      <c r="F50" s="22"/>
      <c r="G50" s="22"/>
    </row>
    <row r="51" spans="1:7" ht="15" customHeight="1" x14ac:dyDescent="0.35">
      <c r="A51" s="20"/>
      <c r="B51" s="22"/>
      <c r="C51" s="23"/>
      <c r="D51" s="22"/>
      <c r="E51" s="23"/>
      <c r="F51" s="22"/>
      <c r="G51" s="22"/>
    </row>
    <row r="52" spans="1:7" ht="15" customHeight="1" x14ac:dyDescent="0.35">
      <c r="A52" s="20"/>
      <c r="B52" s="22"/>
      <c r="C52" s="23"/>
      <c r="D52" s="22"/>
      <c r="E52" s="23"/>
      <c r="F52" s="22"/>
      <c r="G52" s="22"/>
    </row>
    <row r="53" spans="1:7" ht="15" customHeight="1" x14ac:dyDescent="0.35">
      <c r="A53" s="20"/>
      <c r="B53" s="22"/>
      <c r="C53" s="23"/>
      <c r="D53" s="22"/>
      <c r="E53" s="23"/>
      <c r="F53" s="22"/>
      <c r="G53" s="22"/>
    </row>
    <row r="54" spans="1:7" ht="15" customHeight="1" x14ac:dyDescent="0.35">
      <c r="A54" s="20"/>
      <c r="B54" s="22"/>
      <c r="C54" s="23"/>
      <c r="D54" s="22"/>
      <c r="E54" s="23"/>
      <c r="F54" s="22"/>
      <c r="G54" s="22"/>
    </row>
    <row r="55" spans="1:7" ht="15" customHeight="1" x14ac:dyDescent="0.35">
      <c r="A55" s="20"/>
      <c r="B55" s="22"/>
      <c r="C55" s="23"/>
      <c r="D55" s="22"/>
      <c r="E55" s="23"/>
      <c r="F55" s="22"/>
      <c r="G55" s="22"/>
    </row>
    <row r="56" spans="1:7" ht="15" customHeight="1" x14ac:dyDescent="0.35">
      <c r="A56" s="20"/>
      <c r="B56" s="22"/>
      <c r="C56" s="23"/>
      <c r="D56" s="22"/>
      <c r="E56" s="23"/>
      <c r="F56" s="22"/>
      <c r="G56" s="22"/>
    </row>
    <row r="57" spans="1:7" ht="15" customHeight="1" x14ac:dyDescent="0.35">
      <c r="A57" s="20"/>
      <c r="B57" s="22"/>
      <c r="C57" s="23"/>
      <c r="D57" s="22"/>
      <c r="E57" s="23"/>
      <c r="F57" s="22"/>
      <c r="G57" s="22"/>
    </row>
    <row r="58" spans="1:7" ht="15" customHeight="1" x14ac:dyDescent="0.35">
      <c r="A58" s="20"/>
      <c r="B58" s="22"/>
      <c r="C58" s="23"/>
      <c r="D58" s="22"/>
      <c r="E58" s="23"/>
      <c r="F58" s="22"/>
      <c r="G58" s="22"/>
    </row>
    <row r="59" spans="1:7" ht="15" customHeight="1" x14ac:dyDescent="0.35">
      <c r="A59" s="20"/>
      <c r="B59" s="22"/>
      <c r="C59" s="23"/>
      <c r="D59" s="22"/>
      <c r="E59" s="23"/>
      <c r="F59" s="22"/>
      <c r="G59" s="22"/>
    </row>
    <row r="60" spans="1:7" ht="15" customHeight="1" x14ac:dyDescent="0.35">
      <c r="A60" s="20"/>
      <c r="B60" s="22"/>
      <c r="C60" s="23"/>
      <c r="D60" s="22"/>
      <c r="E60" s="23"/>
      <c r="F60" s="22"/>
      <c r="G60" s="22"/>
    </row>
    <row r="61" spans="1:7" ht="15" customHeight="1" x14ac:dyDescent="0.35">
      <c r="A61" s="20"/>
      <c r="B61" s="22"/>
      <c r="C61" s="23"/>
      <c r="D61" s="22"/>
      <c r="E61" s="23"/>
      <c r="F61" s="22"/>
      <c r="G61" s="22"/>
    </row>
    <row r="62" spans="1:7" ht="15" customHeight="1" x14ac:dyDescent="0.35">
      <c r="A62" s="20"/>
      <c r="B62" s="22"/>
      <c r="C62" s="23"/>
      <c r="D62" s="22"/>
      <c r="E62" s="23"/>
      <c r="F62" s="22"/>
      <c r="G62" s="22"/>
    </row>
    <row r="63" spans="1:7" ht="15" customHeight="1" x14ac:dyDescent="0.35">
      <c r="A63" s="20"/>
      <c r="B63" s="22"/>
      <c r="C63" s="23"/>
      <c r="D63" s="22"/>
      <c r="E63" s="23"/>
      <c r="F63" s="22"/>
      <c r="G63" s="22"/>
    </row>
    <row r="64" spans="1:7" ht="15" customHeight="1" x14ac:dyDescent="0.35">
      <c r="A64" s="20"/>
      <c r="B64" s="22"/>
      <c r="C64" s="23"/>
      <c r="D64" s="22"/>
      <c r="E64" s="23"/>
      <c r="F64" s="22"/>
      <c r="G64" s="22"/>
    </row>
    <row r="65" spans="1:7" ht="15" customHeight="1" x14ac:dyDescent="0.35">
      <c r="A65" s="20"/>
      <c r="B65" s="22"/>
      <c r="C65" s="23"/>
      <c r="D65" s="22"/>
      <c r="E65" s="23"/>
      <c r="F65" s="22"/>
      <c r="G65" s="22"/>
    </row>
    <row r="66" spans="1:7" ht="15" customHeight="1" x14ac:dyDescent="0.35">
      <c r="A66" s="20"/>
      <c r="B66" s="22"/>
      <c r="C66" s="23"/>
      <c r="D66" s="22"/>
      <c r="E66" s="23"/>
      <c r="F66" s="22"/>
      <c r="G66" s="22"/>
    </row>
    <row r="67" spans="1:7" ht="15" customHeight="1" x14ac:dyDescent="0.35">
      <c r="A67" s="20"/>
      <c r="B67" s="22"/>
      <c r="C67" s="23"/>
      <c r="D67" s="22"/>
      <c r="E67" s="23"/>
      <c r="F67" s="22"/>
      <c r="G67" s="22"/>
    </row>
    <row r="68" spans="1:7" ht="15" customHeight="1" x14ac:dyDescent="0.35">
      <c r="A68" s="20"/>
      <c r="B68" s="22"/>
      <c r="C68" s="23"/>
      <c r="D68" s="22"/>
      <c r="E68" s="23"/>
      <c r="F68" s="22"/>
      <c r="G68" s="22"/>
    </row>
    <row r="69" spans="1:7" ht="15" customHeight="1" x14ac:dyDescent="0.35">
      <c r="A69" s="20"/>
      <c r="B69" s="22"/>
      <c r="C69" s="23"/>
      <c r="D69" s="22"/>
      <c r="E69" s="23"/>
      <c r="F69" s="22"/>
      <c r="G69" s="22"/>
    </row>
    <row r="70" spans="1:7" ht="15" customHeight="1" x14ac:dyDescent="0.35">
      <c r="A70" s="20"/>
      <c r="B70" s="22"/>
      <c r="C70" s="23"/>
      <c r="D70" s="22"/>
      <c r="E70" s="23"/>
      <c r="F70" s="22"/>
      <c r="G70" s="22"/>
    </row>
    <row r="71" spans="1:7" ht="15" customHeight="1" x14ac:dyDescent="0.35">
      <c r="A71" s="20"/>
      <c r="B71" s="22"/>
      <c r="C71" s="23"/>
      <c r="D71" s="22"/>
      <c r="E71" s="23"/>
      <c r="F71" s="22"/>
      <c r="G71" s="22"/>
    </row>
    <row r="72" spans="1:7" ht="15" customHeight="1" x14ac:dyDescent="0.35">
      <c r="A72" s="59"/>
      <c r="B72" s="61"/>
      <c r="C72" s="61">
        <f>SUBTOTAL(109,Table519[Call Count])</f>
        <v>0</v>
      </c>
      <c r="D72" s="61">
        <f t="shared" ref="D72:F72" si="0">SUBTOTAL(109,D41:D71)</f>
        <v>0</v>
      </c>
      <c r="E72" s="61">
        <f t="shared" si="0"/>
        <v>0</v>
      </c>
      <c r="F72" s="61">
        <f t="shared" si="0"/>
        <v>0</v>
      </c>
      <c r="G72" s="60">
        <f>SUBTOTAL(109,Table519[Unit (Minutes)])</f>
        <v>0</v>
      </c>
    </row>
    <row r="73" spans="1:7" ht="15" customHeight="1" x14ac:dyDescent="0.35">
      <c r="A73" s="24"/>
      <c r="B73" s="21"/>
      <c r="C73" s="21"/>
      <c r="D73" s="21"/>
      <c r="E73" s="21"/>
      <c r="F73" s="21"/>
      <c r="G73" s="21"/>
    </row>
    <row r="74" spans="1:7" s="40" customFormat="1" ht="15" customHeight="1" x14ac:dyDescent="0.35">
      <c r="A74" s="126" t="s">
        <v>15</v>
      </c>
      <c r="B74" s="126"/>
      <c r="C74" s="126"/>
      <c r="D74" s="126"/>
      <c r="E74" s="126"/>
      <c r="F74" s="126"/>
      <c r="G74" s="126"/>
    </row>
    <row r="75" spans="1:7" ht="26" x14ac:dyDescent="0.35">
      <c r="A75" s="27" t="s">
        <v>6</v>
      </c>
      <c r="B75" s="28" t="s">
        <v>8</v>
      </c>
      <c r="C75" s="28" t="s">
        <v>7</v>
      </c>
      <c r="D75" s="28" t="s">
        <v>9</v>
      </c>
      <c r="E75" s="28" t="s">
        <v>10</v>
      </c>
      <c r="F75" s="28" t="s">
        <v>12</v>
      </c>
      <c r="G75" s="28" t="s">
        <v>13</v>
      </c>
    </row>
    <row r="76" spans="1:7" ht="15" customHeight="1" x14ac:dyDescent="0.35">
      <c r="A76" s="20"/>
      <c r="B76" s="22"/>
      <c r="C76" s="23"/>
      <c r="D76" s="22"/>
      <c r="E76" s="23"/>
      <c r="F76" s="22"/>
      <c r="G76" s="22"/>
    </row>
    <row r="77" spans="1:7" ht="15" customHeight="1" x14ac:dyDescent="0.35">
      <c r="A77" s="20"/>
      <c r="B77" s="22"/>
      <c r="C77" s="23"/>
      <c r="D77" s="22"/>
      <c r="E77" s="23"/>
      <c r="F77" s="22"/>
      <c r="G77" s="22"/>
    </row>
    <row r="78" spans="1:7" ht="15" customHeight="1" x14ac:dyDescent="0.35">
      <c r="A78" s="20"/>
      <c r="B78" s="22"/>
      <c r="C78" s="23"/>
      <c r="D78" s="22"/>
      <c r="E78" s="23"/>
      <c r="F78" s="22"/>
      <c r="G78" s="22"/>
    </row>
    <row r="79" spans="1:7" ht="15" customHeight="1" x14ac:dyDescent="0.35">
      <c r="A79" s="20"/>
      <c r="B79" s="22"/>
      <c r="C79" s="23"/>
      <c r="D79" s="22"/>
      <c r="E79" s="23"/>
      <c r="F79" s="22"/>
      <c r="G79" s="22"/>
    </row>
    <row r="80" spans="1:7" ht="15" customHeight="1" x14ac:dyDescent="0.35">
      <c r="A80" s="20"/>
      <c r="B80" s="22"/>
      <c r="C80" s="23"/>
      <c r="D80" s="22"/>
      <c r="E80" s="23"/>
      <c r="F80" s="22"/>
      <c r="G80" s="22"/>
    </row>
    <row r="81" spans="1:7" ht="15" customHeight="1" x14ac:dyDescent="0.35">
      <c r="A81" s="20"/>
      <c r="B81" s="22"/>
      <c r="C81" s="23"/>
      <c r="D81" s="22"/>
      <c r="E81" s="23"/>
      <c r="F81" s="22"/>
      <c r="G81" s="22"/>
    </row>
    <row r="82" spans="1:7" ht="15" customHeight="1" x14ac:dyDescent="0.35">
      <c r="A82" s="20"/>
      <c r="B82" s="22"/>
      <c r="C82" s="23"/>
      <c r="D82" s="22"/>
      <c r="E82" s="23"/>
      <c r="F82" s="22"/>
      <c r="G82" s="22"/>
    </row>
    <row r="83" spans="1:7" ht="15" customHeight="1" x14ac:dyDescent="0.35">
      <c r="A83" s="20"/>
      <c r="B83" s="22"/>
      <c r="C83" s="23"/>
      <c r="D83" s="22"/>
      <c r="E83" s="23"/>
      <c r="F83" s="22"/>
      <c r="G83" s="22"/>
    </row>
    <row r="84" spans="1:7" ht="15" customHeight="1" x14ac:dyDescent="0.35">
      <c r="A84" s="20"/>
      <c r="B84" s="22"/>
      <c r="C84" s="23"/>
      <c r="D84" s="22"/>
      <c r="E84" s="23"/>
      <c r="F84" s="22"/>
      <c r="G84" s="22"/>
    </row>
    <row r="85" spans="1:7" ht="15" customHeight="1" x14ac:dyDescent="0.35">
      <c r="A85" s="20"/>
      <c r="B85" s="22"/>
      <c r="C85" s="23"/>
      <c r="D85" s="22"/>
      <c r="E85" s="23"/>
      <c r="F85" s="22"/>
      <c r="G85" s="22"/>
    </row>
    <row r="86" spans="1:7" ht="15" customHeight="1" x14ac:dyDescent="0.35">
      <c r="A86" s="20"/>
      <c r="B86" s="22"/>
      <c r="C86" s="23"/>
      <c r="D86" s="22"/>
      <c r="E86" s="23"/>
      <c r="F86" s="22"/>
      <c r="G86" s="22"/>
    </row>
    <row r="87" spans="1:7" ht="15" customHeight="1" x14ac:dyDescent="0.35">
      <c r="A87" s="20"/>
      <c r="B87" s="22"/>
      <c r="C87" s="23"/>
      <c r="D87" s="22"/>
      <c r="E87" s="23"/>
      <c r="F87" s="22"/>
      <c r="G87" s="22"/>
    </row>
    <row r="88" spans="1:7" ht="15" customHeight="1" x14ac:dyDescent="0.35">
      <c r="A88" s="20"/>
      <c r="B88" s="22"/>
      <c r="C88" s="23"/>
      <c r="D88" s="22"/>
      <c r="E88" s="23"/>
      <c r="F88" s="22"/>
      <c r="G88" s="22"/>
    </row>
    <row r="89" spans="1:7" ht="15" customHeight="1" x14ac:dyDescent="0.35">
      <c r="A89" s="20"/>
      <c r="B89" s="22"/>
      <c r="C89" s="23"/>
      <c r="D89" s="22"/>
      <c r="E89" s="23"/>
      <c r="F89" s="22"/>
      <c r="G89" s="22"/>
    </row>
    <row r="90" spans="1:7" ht="15" customHeight="1" x14ac:dyDescent="0.35">
      <c r="A90" s="20"/>
      <c r="B90" s="22"/>
      <c r="C90" s="23"/>
      <c r="D90" s="22"/>
      <c r="E90" s="23"/>
      <c r="F90" s="22"/>
      <c r="G90" s="22"/>
    </row>
    <row r="91" spans="1:7" ht="15" customHeight="1" x14ac:dyDescent="0.35">
      <c r="A91" s="20"/>
      <c r="B91" s="22"/>
      <c r="C91" s="23"/>
      <c r="D91" s="22"/>
      <c r="E91" s="23"/>
      <c r="F91" s="22"/>
      <c r="G91" s="22"/>
    </row>
    <row r="92" spans="1:7" ht="15" customHeight="1" x14ac:dyDescent="0.35">
      <c r="A92" s="20"/>
      <c r="B92" s="22"/>
      <c r="C92" s="23"/>
      <c r="D92" s="22"/>
      <c r="E92" s="23"/>
      <c r="F92" s="22"/>
      <c r="G92" s="22"/>
    </row>
    <row r="93" spans="1:7" ht="15" customHeight="1" x14ac:dyDescent="0.35">
      <c r="A93" s="20"/>
      <c r="B93" s="22"/>
      <c r="C93" s="23"/>
      <c r="D93" s="22"/>
      <c r="E93" s="23"/>
      <c r="F93" s="22"/>
      <c r="G93" s="22"/>
    </row>
    <row r="94" spans="1:7" ht="15" customHeight="1" x14ac:dyDescent="0.35">
      <c r="A94" s="20"/>
      <c r="B94" s="22"/>
      <c r="C94" s="23"/>
      <c r="D94" s="22"/>
      <c r="E94" s="23"/>
      <c r="F94" s="22"/>
      <c r="G94" s="22"/>
    </row>
    <row r="95" spans="1:7" ht="15" customHeight="1" x14ac:dyDescent="0.35">
      <c r="A95" s="20"/>
      <c r="B95" s="22"/>
      <c r="C95" s="23"/>
      <c r="D95" s="22"/>
      <c r="E95" s="23"/>
      <c r="F95" s="22"/>
      <c r="G95" s="22"/>
    </row>
    <row r="96" spans="1:7" ht="15" customHeight="1" x14ac:dyDescent="0.35">
      <c r="A96" s="20"/>
      <c r="B96" s="22"/>
      <c r="C96" s="23"/>
      <c r="D96" s="22"/>
      <c r="E96" s="23"/>
      <c r="F96" s="22"/>
      <c r="G96" s="22"/>
    </row>
    <row r="97" spans="1:7" ht="15" customHeight="1" x14ac:dyDescent="0.35">
      <c r="A97" s="20"/>
      <c r="B97" s="22"/>
      <c r="C97" s="23"/>
      <c r="D97" s="22"/>
      <c r="E97" s="23"/>
      <c r="F97" s="22"/>
      <c r="G97" s="22"/>
    </row>
    <row r="98" spans="1:7" ht="15" customHeight="1" x14ac:dyDescent="0.35">
      <c r="A98" s="20"/>
      <c r="B98" s="22"/>
      <c r="C98" s="23"/>
      <c r="D98" s="22"/>
      <c r="E98" s="23"/>
      <c r="F98" s="22"/>
      <c r="G98" s="22"/>
    </row>
    <row r="99" spans="1:7" ht="15" customHeight="1" x14ac:dyDescent="0.35">
      <c r="A99" s="20"/>
      <c r="B99" s="22"/>
      <c r="C99" s="23"/>
      <c r="D99" s="22"/>
      <c r="E99" s="23"/>
      <c r="F99" s="22"/>
      <c r="G99" s="22"/>
    </row>
    <row r="100" spans="1:7" ht="15" customHeight="1" x14ac:dyDescent="0.35">
      <c r="A100" s="20"/>
      <c r="B100" s="22"/>
      <c r="C100" s="23"/>
      <c r="D100" s="22"/>
      <c r="E100" s="23"/>
      <c r="F100" s="22"/>
      <c r="G100" s="22"/>
    </row>
    <row r="101" spans="1:7" ht="15" customHeight="1" x14ac:dyDescent="0.35">
      <c r="A101" s="20"/>
      <c r="B101" s="22"/>
      <c r="C101" s="23"/>
      <c r="D101" s="22"/>
      <c r="E101" s="23"/>
      <c r="F101" s="22"/>
      <c r="G101" s="22"/>
    </row>
    <row r="102" spans="1:7" ht="15" customHeight="1" x14ac:dyDescent="0.35">
      <c r="A102" s="20"/>
      <c r="B102" s="22"/>
      <c r="C102" s="23"/>
      <c r="D102" s="22"/>
      <c r="E102" s="23"/>
      <c r="F102" s="22"/>
      <c r="G102" s="22"/>
    </row>
    <row r="103" spans="1:7" ht="15" customHeight="1" x14ac:dyDescent="0.35">
      <c r="A103" s="20"/>
      <c r="B103" s="22"/>
      <c r="C103" s="23"/>
      <c r="D103" s="22"/>
      <c r="E103" s="23"/>
      <c r="F103" s="22"/>
      <c r="G103" s="22"/>
    </row>
    <row r="104" spans="1:7" ht="15" customHeight="1" x14ac:dyDescent="0.35">
      <c r="A104" s="20"/>
      <c r="B104" s="22"/>
      <c r="C104" s="23"/>
      <c r="D104" s="22"/>
      <c r="E104" s="23"/>
      <c r="F104" s="22"/>
      <c r="G104" s="22"/>
    </row>
    <row r="105" spans="1:7" ht="15" customHeight="1" x14ac:dyDescent="0.35">
      <c r="A105" s="20"/>
      <c r="B105" s="22"/>
      <c r="C105" s="23"/>
      <c r="D105" s="22"/>
      <c r="E105" s="23"/>
      <c r="F105" s="22"/>
      <c r="G105" s="22"/>
    </row>
    <row r="106" spans="1:7" ht="15" customHeight="1" x14ac:dyDescent="0.35">
      <c r="A106" s="20"/>
      <c r="B106" s="22"/>
      <c r="C106" s="23"/>
      <c r="D106" s="22"/>
      <c r="E106" s="23"/>
      <c r="F106" s="22"/>
      <c r="G106" s="22"/>
    </row>
    <row r="107" spans="1:7" ht="15" customHeight="1" x14ac:dyDescent="0.35">
      <c r="A107" s="59"/>
      <c r="B107" s="61"/>
      <c r="C107" s="61">
        <f>SUBTOTAL(109,Table620[Call Count])</f>
        <v>0</v>
      </c>
      <c r="D107" s="61">
        <f t="shared" ref="D107:F107" si="1">SUBTOTAL(109,D76:D106)</f>
        <v>0</v>
      </c>
      <c r="E107" s="61">
        <f t="shared" si="1"/>
        <v>0</v>
      </c>
      <c r="F107" s="61">
        <f t="shared" si="1"/>
        <v>0</v>
      </c>
      <c r="G107" s="60">
        <f>SUBTOTAL(109,Table620[Unit (Minutes)])</f>
        <v>0</v>
      </c>
    </row>
    <row r="108" spans="1:7" ht="15" customHeight="1" x14ac:dyDescent="0.35">
      <c r="A108" s="25"/>
    </row>
    <row r="109" spans="1:7" ht="15" customHeight="1" x14ac:dyDescent="0.35">
      <c r="A109" s="125" t="s">
        <v>16</v>
      </c>
      <c r="B109" s="125"/>
      <c r="C109" s="125"/>
      <c r="D109" s="125"/>
      <c r="E109" s="125"/>
      <c r="F109" s="125"/>
      <c r="G109" s="125"/>
    </row>
    <row r="110" spans="1:7" s="40" customFormat="1" ht="15" customHeight="1" x14ac:dyDescent="0.35">
      <c r="A110" s="126" t="s">
        <v>11</v>
      </c>
      <c r="B110" s="126"/>
      <c r="C110" s="126"/>
      <c r="D110" s="126"/>
      <c r="E110" s="126"/>
      <c r="F110" s="126"/>
      <c r="G110" s="39">
        <v>130</v>
      </c>
    </row>
    <row r="111" spans="1:7" s="40" customFormat="1" ht="15" customHeight="1" x14ac:dyDescent="0.35">
      <c r="A111" s="126" t="s">
        <v>14</v>
      </c>
      <c r="B111" s="126"/>
      <c r="C111" s="126"/>
      <c r="D111" s="126"/>
      <c r="E111" s="126"/>
      <c r="F111" s="126"/>
      <c r="G111" s="126"/>
    </row>
    <row r="112" spans="1:7" s="40" customFormat="1" ht="15" customHeight="1" x14ac:dyDescent="0.35">
      <c r="A112" s="126" t="s">
        <v>89</v>
      </c>
      <c r="B112" s="126"/>
      <c r="C112" s="126"/>
      <c r="D112" s="126"/>
      <c r="E112" s="126"/>
      <c r="F112" s="126"/>
      <c r="G112" s="126"/>
    </row>
    <row r="113" spans="1:7" ht="26" x14ac:dyDescent="0.35">
      <c r="A113" s="19" t="s">
        <v>6</v>
      </c>
      <c r="B113" s="29" t="s">
        <v>8</v>
      </c>
      <c r="C113" s="29" t="s">
        <v>7</v>
      </c>
      <c r="D113" s="29" t="s">
        <v>9</v>
      </c>
      <c r="E113" s="29" t="s">
        <v>19</v>
      </c>
      <c r="F113" s="29" t="s">
        <v>12</v>
      </c>
      <c r="G113" s="29" t="s">
        <v>13</v>
      </c>
    </row>
    <row r="114" spans="1:7" ht="15" customHeight="1" x14ac:dyDescent="0.35">
      <c r="A114" s="20">
        <v>45962</v>
      </c>
      <c r="B114" s="22">
        <v>130.44589999999999</v>
      </c>
      <c r="C114" s="23">
        <v>6484</v>
      </c>
      <c r="D114" s="22">
        <v>845811.2156</v>
      </c>
      <c r="E114" s="23">
        <v>842920</v>
      </c>
      <c r="F114" s="23">
        <v>842920</v>
      </c>
      <c r="G114" s="22">
        <v>14048.6667</v>
      </c>
    </row>
    <row r="115" spans="1:7" ht="15" customHeight="1" x14ac:dyDescent="0.35">
      <c r="A115" s="20">
        <v>45963</v>
      </c>
      <c r="B115" s="22">
        <v>131.3278</v>
      </c>
      <c r="C115" s="23">
        <v>5329</v>
      </c>
      <c r="D115" s="22">
        <v>699845.84620000003</v>
      </c>
      <c r="E115" s="23">
        <v>692770</v>
      </c>
      <c r="F115" s="23">
        <v>692770</v>
      </c>
      <c r="G115" s="22">
        <v>11546.1667</v>
      </c>
    </row>
    <row r="116" spans="1:7" ht="15" customHeight="1" x14ac:dyDescent="0.35">
      <c r="A116" s="20">
        <v>45964</v>
      </c>
      <c r="B116" s="22">
        <v>132.5796</v>
      </c>
      <c r="C116" s="23">
        <v>6397</v>
      </c>
      <c r="D116" s="22">
        <v>848111.70120000001</v>
      </c>
      <c r="E116" s="23">
        <v>831610</v>
      </c>
      <c r="F116" s="23">
        <v>831610</v>
      </c>
      <c r="G116" s="22">
        <v>13860.1667</v>
      </c>
    </row>
    <row r="117" spans="1:7" ht="15" customHeight="1" x14ac:dyDescent="0.35">
      <c r="A117" s="20">
        <v>45965</v>
      </c>
      <c r="B117" s="22">
        <v>140.88470000000001</v>
      </c>
      <c r="C117" s="23">
        <v>6589</v>
      </c>
      <c r="D117" s="22">
        <v>928289.28830000001</v>
      </c>
      <c r="E117" s="23">
        <v>856570</v>
      </c>
      <c r="F117" s="23">
        <v>856570</v>
      </c>
      <c r="G117" s="22">
        <v>14276.1667</v>
      </c>
    </row>
    <row r="118" spans="1:7" ht="15" customHeight="1" x14ac:dyDescent="0.35">
      <c r="A118" s="20">
        <v>45966</v>
      </c>
      <c r="B118" s="22">
        <v>134.256</v>
      </c>
      <c r="C118" s="23">
        <v>6129</v>
      </c>
      <c r="D118" s="22">
        <v>822855.02399999998</v>
      </c>
      <c r="E118" s="23">
        <v>796770</v>
      </c>
      <c r="F118" s="22">
        <v>796770</v>
      </c>
      <c r="G118" s="22">
        <v>13279.5</v>
      </c>
    </row>
    <row r="119" spans="1:7" ht="15" customHeight="1" x14ac:dyDescent="0.35">
      <c r="A119" s="20">
        <v>45967</v>
      </c>
      <c r="B119" s="22">
        <v>138.71420000000001</v>
      </c>
      <c r="C119" s="23">
        <v>6273</v>
      </c>
      <c r="D119" s="22">
        <v>870154.17660000001</v>
      </c>
      <c r="E119" s="23">
        <v>815490</v>
      </c>
      <c r="F119" s="23">
        <v>815490</v>
      </c>
      <c r="G119" s="22">
        <v>13591.5</v>
      </c>
    </row>
    <row r="120" spans="1:7" ht="15" customHeight="1" x14ac:dyDescent="0.35">
      <c r="A120" s="20">
        <v>45968</v>
      </c>
      <c r="B120" s="22">
        <v>136.1276</v>
      </c>
      <c r="C120" s="23">
        <v>6309</v>
      </c>
      <c r="D120" s="22">
        <v>858829.02839999995</v>
      </c>
      <c r="E120" s="23">
        <v>820170</v>
      </c>
      <c r="F120" s="23">
        <v>820170</v>
      </c>
      <c r="G120" s="22">
        <v>13669.5</v>
      </c>
    </row>
    <row r="121" spans="1:7" ht="15" customHeight="1" x14ac:dyDescent="0.35">
      <c r="A121" s="20">
        <v>45969</v>
      </c>
      <c r="B121" s="22">
        <v>128.93289999999999</v>
      </c>
      <c r="C121" s="23">
        <v>5914</v>
      </c>
      <c r="D121" s="22">
        <v>762509.17059999995</v>
      </c>
      <c r="E121" s="23">
        <v>768820</v>
      </c>
      <c r="F121" s="23">
        <v>762509.17059999995</v>
      </c>
      <c r="G121" s="22">
        <v>12708.48617667</v>
      </c>
    </row>
    <row r="122" spans="1:7" ht="15" customHeight="1" x14ac:dyDescent="0.35">
      <c r="A122" s="20">
        <v>45970</v>
      </c>
      <c r="B122" s="22">
        <v>133.87889999999999</v>
      </c>
      <c r="C122" s="23">
        <v>5069</v>
      </c>
      <c r="D122" s="22">
        <v>678632.14410000003</v>
      </c>
      <c r="E122" s="23">
        <v>658970</v>
      </c>
      <c r="F122" s="23">
        <v>658970</v>
      </c>
      <c r="G122" s="22">
        <v>10982.8333</v>
      </c>
    </row>
    <row r="123" spans="1:7" ht="15" customHeight="1" x14ac:dyDescent="0.35">
      <c r="A123" s="20">
        <v>45971</v>
      </c>
      <c r="B123" s="22">
        <v>133.54400000000001</v>
      </c>
      <c r="C123" s="23">
        <v>6785</v>
      </c>
      <c r="D123" s="22">
        <v>906096.04</v>
      </c>
      <c r="E123" s="23">
        <v>882050</v>
      </c>
      <c r="F123" s="23">
        <v>882050</v>
      </c>
      <c r="G123" s="22">
        <v>14700.8333</v>
      </c>
    </row>
    <row r="124" spans="1:7" ht="15" customHeight="1" x14ac:dyDescent="0.35">
      <c r="A124" s="20">
        <v>45972</v>
      </c>
      <c r="B124" s="22">
        <v>133.0009</v>
      </c>
      <c r="C124" s="23">
        <v>6388</v>
      </c>
      <c r="D124" s="22">
        <v>849609.74919999996</v>
      </c>
      <c r="E124" s="23">
        <v>830440</v>
      </c>
      <c r="F124" s="23">
        <v>830440</v>
      </c>
      <c r="G124" s="22">
        <v>13840.6667</v>
      </c>
    </row>
    <row r="125" spans="1:7" ht="15" customHeight="1" x14ac:dyDescent="0.35">
      <c r="A125" s="20">
        <v>45973</v>
      </c>
      <c r="B125" s="22">
        <v>135.2073</v>
      </c>
      <c r="C125" s="23">
        <v>6069</v>
      </c>
      <c r="D125" s="22">
        <v>820573.10369999998</v>
      </c>
      <c r="E125" s="23">
        <v>788970</v>
      </c>
      <c r="F125" s="23">
        <v>788970</v>
      </c>
      <c r="G125" s="22">
        <v>13149.5</v>
      </c>
    </row>
    <row r="126" spans="1:7" ht="15" customHeight="1" x14ac:dyDescent="0.35">
      <c r="A126" s="20">
        <v>45974</v>
      </c>
      <c r="B126" s="22">
        <v>129.3545</v>
      </c>
      <c r="C126" s="23">
        <v>6548</v>
      </c>
      <c r="D126" s="22">
        <v>847013.26599999995</v>
      </c>
      <c r="E126" s="23">
        <v>851240</v>
      </c>
      <c r="F126" s="23">
        <v>847013.26599999995</v>
      </c>
      <c r="G126" s="22">
        <v>14116.887766669999</v>
      </c>
    </row>
    <row r="127" spans="1:7" ht="15" customHeight="1" x14ac:dyDescent="0.35">
      <c r="A127" s="20">
        <v>45975</v>
      </c>
      <c r="B127" s="22">
        <v>129.2978</v>
      </c>
      <c r="C127" s="23">
        <v>6245</v>
      </c>
      <c r="D127" s="22">
        <v>807464.76100000006</v>
      </c>
      <c r="E127" s="23">
        <v>811850</v>
      </c>
      <c r="F127" s="23">
        <v>807464.76100000006</v>
      </c>
      <c r="G127" s="22">
        <v>13457.74601667</v>
      </c>
    </row>
    <row r="128" spans="1:7" ht="15" customHeight="1" x14ac:dyDescent="0.35">
      <c r="A128" s="20">
        <v>45976</v>
      </c>
      <c r="B128" s="22">
        <v>133.56710000000001</v>
      </c>
      <c r="C128" s="23">
        <v>6399</v>
      </c>
      <c r="D128" s="22">
        <v>854695.87289999996</v>
      </c>
      <c r="E128" s="23">
        <v>831870</v>
      </c>
      <c r="F128" s="23">
        <v>831870</v>
      </c>
      <c r="G128" s="22">
        <v>13864.5</v>
      </c>
    </row>
    <row r="129" spans="1:7" ht="15" customHeight="1" x14ac:dyDescent="0.35">
      <c r="A129" s="20">
        <v>45977</v>
      </c>
      <c r="B129" s="22">
        <v>127.755</v>
      </c>
      <c r="C129" s="23">
        <v>5021</v>
      </c>
      <c r="D129" s="22">
        <v>641457.85499999998</v>
      </c>
      <c r="E129" s="23">
        <v>652730</v>
      </c>
      <c r="F129" s="23">
        <v>641457.85499999998</v>
      </c>
      <c r="G129" s="22">
        <v>10690.964250000001</v>
      </c>
    </row>
    <row r="130" spans="1:7" ht="15" customHeight="1" x14ac:dyDescent="0.35">
      <c r="A130" s="20">
        <v>45978</v>
      </c>
      <c r="B130" s="22">
        <v>131.2534</v>
      </c>
      <c r="C130" s="23">
        <v>6118</v>
      </c>
      <c r="D130" s="22">
        <v>803008.30119999999</v>
      </c>
      <c r="E130" s="23">
        <v>795340</v>
      </c>
      <c r="F130" s="23">
        <v>795340</v>
      </c>
      <c r="G130" s="22">
        <v>13255.6667</v>
      </c>
    </row>
    <row r="131" spans="1:7" ht="15" customHeight="1" x14ac:dyDescent="0.35">
      <c r="A131" s="20">
        <v>45979</v>
      </c>
      <c r="B131" s="22">
        <v>132.79759999999999</v>
      </c>
      <c r="C131" s="23">
        <v>6368</v>
      </c>
      <c r="D131" s="22">
        <v>845655.11679999996</v>
      </c>
      <c r="E131" s="23">
        <v>827840</v>
      </c>
      <c r="F131" s="23">
        <v>827840</v>
      </c>
      <c r="G131" s="22">
        <v>13797.3333</v>
      </c>
    </row>
    <row r="132" spans="1:7" ht="15" customHeight="1" x14ac:dyDescent="0.35">
      <c r="A132" s="20">
        <v>45980</v>
      </c>
      <c r="B132" s="22">
        <v>128.14940000000001</v>
      </c>
      <c r="C132" s="23">
        <v>7013</v>
      </c>
      <c r="D132" s="22">
        <v>898711.74219999998</v>
      </c>
      <c r="E132" s="23">
        <v>911690</v>
      </c>
      <c r="F132" s="23">
        <v>898711.74219999998</v>
      </c>
      <c r="G132" s="22">
        <v>14978.529036669999</v>
      </c>
    </row>
    <row r="133" spans="1:7" ht="15" customHeight="1" x14ac:dyDescent="0.35">
      <c r="A133" s="20">
        <v>45981</v>
      </c>
      <c r="B133" s="22">
        <v>126.60599999999999</v>
      </c>
      <c r="C133" s="23">
        <v>6792</v>
      </c>
      <c r="D133" s="22">
        <v>859907.95200000005</v>
      </c>
      <c r="E133" s="23">
        <v>882960</v>
      </c>
      <c r="F133" s="23">
        <v>859907.95200000005</v>
      </c>
      <c r="G133" s="22">
        <v>14331.799199999999</v>
      </c>
    </row>
    <row r="134" spans="1:7" ht="15" customHeight="1" x14ac:dyDescent="0.35">
      <c r="A134" s="20">
        <v>45982</v>
      </c>
      <c r="B134" s="22">
        <v>130.35659999999999</v>
      </c>
      <c r="C134" s="23">
        <v>6501</v>
      </c>
      <c r="D134" s="22">
        <v>847448.25659999996</v>
      </c>
      <c r="E134" s="23">
        <v>845130</v>
      </c>
      <c r="F134" s="23">
        <v>845130</v>
      </c>
      <c r="G134" s="22">
        <v>14085.5</v>
      </c>
    </row>
    <row r="135" spans="1:7" ht="15" customHeight="1" x14ac:dyDescent="0.35">
      <c r="A135" s="20">
        <v>45983</v>
      </c>
      <c r="B135" s="22">
        <v>126.5175</v>
      </c>
      <c r="C135" s="23">
        <v>6583</v>
      </c>
      <c r="D135" s="22">
        <v>832864.70250000001</v>
      </c>
      <c r="E135" s="23">
        <v>855790</v>
      </c>
      <c r="F135" s="23">
        <v>832864.70250000001</v>
      </c>
      <c r="G135" s="22">
        <v>13881.078374999999</v>
      </c>
    </row>
    <row r="136" spans="1:7" ht="15" customHeight="1" x14ac:dyDescent="0.35">
      <c r="A136" s="20">
        <v>45984</v>
      </c>
      <c r="B136" s="22">
        <v>132.8656</v>
      </c>
      <c r="C136" s="23">
        <v>5247</v>
      </c>
      <c r="D136" s="22">
        <v>697145.80319999997</v>
      </c>
      <c r="E136" s="23">
        <v>682110</v>
      </c>
      <c r="F136" s="23">
        <v>682110</v>
      </c>
      <c r="G136" s="22">
        <v>11368.5</v>
      </c>
    </row>
    <row r="137" spans="1:7" ht="15" customHeight="1" x14ac:dyDescent="0.35">
      <c r="A137" s="20">
        <v>45985</v>
      </c>
      <c r="B137" s="22">
        <v>126.2521</v>
      </c>
      <c r="C137" s="23">
        <v>7203</v>
      </c>
      <c r="D137" s="22">
        <v>909393.8763</v>
      </c>
      <c r="E137" s="23">
        <v>936390</v>
      </c>
      <c r="F137" s="23">
        <v>909393.8763</v>
      </c>
      <c r="G137" s="22">
        <v>15156.564605</v>
      </c>
    </row>
    <row r="138" spans="1:7" ht="15" customHeight="1" x14ac:dyDescent="0.35">
      <c r="A138" s="20">
        <v>45986</v>
      </c>
      <c r="B138" s="22">
        <v>119.9772</v>
      </c>
      <c r="C138" s="23">
        <v>8237</v>
      </c>
      <c r="D138" s="22">
        <v>988252.19640000002</v>
      </c>
      <c r="E138" s="23">
        <v>1070810</v>
      </c>
      <c r="F138" s="23">
        <v>988252.19640000002</v>
      </c>
      <c r="G138" s="22">
        <v>16470.86994</v>
      </c>
    </row>
    <row r="139" spans="1:7" ht="15" customHeight="1" x14ac:dyDescent="0.35">
      <c r="A139" s="20">
        <v>45987</v>
      </c>
      <c r="B139" s="22">
        <v>131.0145</v>
      </c>
      <c r="C139" s="23">
        <v>7392</v>
      </c>
      <c r="D139" s="22">
        <v>968459.18400000001</v>
      </c>
      <c r="E139" s="23">
        <v>960960</v>
      </c>
      <c r="F139" s="23">
        <v>960960</v>
      </c>
      <c r="G139" s="22">
        <v>16016</v>
      </c>
    </row>
    <row r="140" spans="1:7" ht="15" customHeight="1" x14ac:dyDescent="0.35">
      <c r="A140" s="20">
        <v>45988</v>
      </c>
      <c r="B140" s="22">
        <v>131.92789999999999</v>
      </c>
      <c r="C140" s="23">
        <v>6409</v>
      </c>
      <c r="D140" s="22">
        <v>845525.91110000003</v>
      </c>
      <c r="E140" s="23">
        <v>833170</v>
      </c>
      <c r="F140" s="23">
        <v>833170</v>
      </c>
      <c r="G140" s="22">
        <v>13886.1667</v>
      </c>
    </row>
    <row r="141" spans="1:7" ht="15" customHeight="1" x14ac:dyDescent="0.35">
      <c r="A141" s="20">
        <v>45989</v>
      </c>
      <c r="B141" s="22">
        <v>130.60339999999999</v>
      </c>
      <c r="C141" s="23">
        <v>6190</v>
      </c>
      <c r="D141" s="22">
        <v>808435.04599999997</v>
      </c>
      <c r="E141" s="23">
        <v>804700</v>
      </c>
      <c r="F141" s="23">
        <v>804700</v>
      </c>
      <c r="G141" s="22">
        <v>13411.6667</v>
      </c>
    </row>
    <row r="142" spans="1:7" ht="15" customHeight="1" x14ac:dyDescent="0.35">
      <c r="A142" s="20">
        <v>45990</v>
      </c>
      <c r="B142" s="22">
        <v>130.2132</v>
      </c>
      <c r="C142" s="23">
        <v>6629</v>
      </c>
      <c r="D142" s="22">
        <v>863183.30279999995</v>
      </c>
      <c r="E142" s="23">
        <v>861770</v>
      </c>
      <c r="F142" s="23">
        <v>861770</v>
      </c>
      <c r="G142" s="22">
        <v>14362.8333</v>
      </c>
    </row>
    <row r="143" spans="1:7" ht="15" customHeight="1" x14ac:dyDescent="0.35">
      <c r="A143" s="20">
        <v>45991</v>
      </c>
      <c r="B143" s="22">
        <v>127.81959999999999</v>
      </c>
      <c r="C143" s="23">
        <v>4983</v>
      </c>
      <c r="D143" s="22">
        <v>636925.06680000003</v>
      </c>
      <c r="E143" s="23">
        <v>647790</v>
      </c>
      <c r="F143" s="23">
        <v>636925.06680000003</v>
      </c>
      <c r="G143" s="22">
        <v>10615.41778</v>
      </c>
    </row>
    <row r="144" spans="1:7" ht="15" customHeight="1" x14ac:dyDescent="0.35">
      <c r="A144" s="20"/>
      <c r="B144" s="22"/>
      <c r="C144" s="23"/>
      <c r="D144" s="22"/>
      <c r="E144" s="23"/>
      <c r="F144" s="23"/>
      <c r="G144" s="22"/>
    </row>
    <row r="145" spans="1:7" ht="15" customHeight="1" x14ac:dyDescent="0.35">
      <c r="A145" s="72"/>
      <c r="B145" s="74"/>
      <c r="C145" s="74">
        <f>SUBTOTAL(109,Table721[Call Count])</f>
        <v>189613</v>
      </c>
      <c r="D145" s="74">
        <f>SUBTOTAL(109,Table721[Total Duration (S)])</f>
        <v>24846864.700700004</v>
      </c>
      <c r="E145" s="74">
        <f t="shared" ref="E145:F145" si="2">SUBTOTAL(109,E114:E144)</f>
        <v>24649690</v>
      </c>
      <c r="F145" s="74">
        <f t="shared" si="2"/>
        <v>24444120.588800002</v>
      </c>
      <c r="G145" s="73">
        <f>SUBTOTAL(109,Table721[Unit (Minutes)])</f>
        <v>407402.00994667999</v>
      </c>
    </row>
    <row r="146" spans="1:7" ht="15" customHeight="1" x14ac:dyDescent="0.35">
      <c r="A146" s="35"/>
      <c r="B146" s="36"/>
      <c r="C146" s="36"/>
      <c r="D146" s="36"/>
      <c r="E146" s="36"/>
      <c r="F146" s="36"/>
      <c r="G146" s="36"/>
    </row>
    <row r="147" spans="1:7" s="40" customFormat="1" ht="15" customHeight="1" x14ac:dyDescent="0.35">
      <c r="A147" s="126" t="s">
        <v>90</v>
      </c>
      <c r="B147" s="126"/>
      <c r="C147" s="126"/>
      <c r="D147" s="126"/>
      <c r="E147" s="126"/>
      <c r="F147" s="126"/>
      <c r="G147" s="126"/>
    </row>
    <row r="148" spans="1:7" ht="26" x14ac:dyDescent="0.35">
      <c r="A148" s="19" t="s">
        <v>6</v>
      </c>
      <c r="B148" s="29" t="s">
        <v>8</v>
      </c>
      <c r="C148" s="29" t="s">
        <v>7</v>
      </c>
      <c r="D148" s="29" t="s">
        <v>9</v>
      </c>
      <c r="E148" s="29" t="s">
        <v>19</v>
      </c>
      <c r="F148" s="29" t="s">
        <v>12</v>
      </c>
      <c r="G148" s="29" t="s">
        <v>13</v>
      </c>
    </row>
    <row r="149" spans="1:7" ht="15" customHeight="1" x14ac:dyDescent="0.35">
      <c r="A149" s="20">
        <v>45962</v>
      </c>
      <c r="B149" s="22">
        <v>170.5</v>
      </c>
      <c r="C149" s="23">
        <v>22</v>
      </c>
      <c r="D149" s="22">
        <v>3751</v>
      </c>
      <c r="E149" s="23">
        <v>2860</v>
      </c>
      <c r="F149" s="23">
        <v>2860</v>
      </c>
      <c r="G149" s="22">
        <v>47.666699999999999</v>
      </c>
    </row>
    <row r="150" spans="1:7" ht="15" customHeight="1" x14ac:dyDescent="0.35">
      <c r="A150" s="20">
        <v>45963</v>
      </c>
      <c r="B150" s="22">
        <v>204.19049999999999</v>
      </c>
      <c r="C150" s="23">
        <v>21</v>
      </c>
      <c r="D150" s="22">
        <v>4288.0005000000001</v>
      </c>
      <c r="E150" s="23">
        <v>2730</v>
      </c>
      <c r="F150" s="23">
        <v>2730</v>
      </c>
      <c r="G150" s="22">
        <v>45.5</v>
      </c>
    </row>
    <row r="151" spans="1:7" ht="15" customHeight="1" x14ac:dyDescent="0.35">
      <c r="A151" s="20">
        <v>45964</v>
      </c>
      <c r="B151" s="22">
        <v>151.1</v>
      </c>
      <c r="C151" s="23">
        <v>20</v>
      </c>
      <c r="D151" s="22">
        <v>3022</v>
      </c>
      <c r="E151" s="23">
        <v>2600</v>
      </c>
      <c r="F151" s="23">
        <v>2600</v>
      </c>
      <c r="G151" s="22">
        <v>43.333300000000001</v>
      </c>
    </row>
    <row r="152" spans="1:7" ht="15" customHeight="1" x14ac:dyDescent="0.35">
      <c r="A152" s="20">
        <v>45965</v>
      </c>
      <c r="B152" s="22">
        <v>119.08329999999999</v>
      </c>
      <c r="C152" s="23">
        <v>12</v>
      </c>
      <c r="D152" s="22">
        <v>1428.9996000000001</v>
      </c>
      <c r="E152" s="23">
        <v>1560</v>
      </c>
      <c r="F152" s="23">
        <v>1428.9996000000001</v>
      </c>
      <c r="G152" s="22">
        <v>23.816659999999999</v>
      </c>
    </row>
    <row r="153" spans="1:7" ht="15" customHeight="1" x14ac:dyDescent="0.35">
      <c r="A153" s="20">
        <v>45966</v>
      </c>
      <c r="B153" s="22">
        <v>139.0625</v>
      </c>
      <c r="C153" s="23">
        <v>16</v>
      </c>
      <c r="D153" s="22">
        <v>2225</v>
      </c>
      <c r="E153" s="23">
        <v>2080</v>
      </c>
      <c r="F153" s="23">
        <v>2080</v>
      </c>
      <c r="G153" s="22">
        <v>34.666699999999999</v>
      </c>
    </row>
    <row r="154" spans="1:7" ht="15" customHeight="1" x14ac:dyDescent="0.35">
      <c r="A154" s="20">
        <v>45967</v>
      </c>
      <c r="B154" s="22">
        <v>171.09520000000001</v>
      </c>
      <c r="C154" s="23">
        <v>21</v>
      </c>
      <c r="D154" s="22">
        <v>3592.9992000000002</v>
      </c>
      <c r="E154" s="23">
        <v>2730</v>
      </c>
      <c r="F154" s="23">
        <v>2730</v>
      </c>
      <c r="G154" s="22">
        <v>45.5</v>
      </c>
    </row>
    <row r="155" spans="1:7" ht="15" customHeight="1" x14ac:dyDescent="0.35">
      <c r="A155" s="20">
        <v>45968</v>
      </c>
      <c r="B155" s="22">
        <v>125.04349999999999</v>
      </c>
      <c r="C155" s="23">
        <v>23</v>
      </c>
      <c r="D155" s="22">
        <v>2876.0005000000001</v>
      </c>
      <c r="E155" s="23">
        <v>2990</v>
      </c>
      <c r="F155" s="23">
        <v>2876.0005000000001</v>
      </c>
      <c r="G155" s="22">
        <v>47.933341669999997</v>
      </c>
    </row>
    <row r="156" spans="1:7" ht="15" customHeight="1" x14ac:dyDescent="0.35">
      <c r="A156" s="20">
        <v>45969</v>
      </c>
      <c r="B156" s="22">
        <v>104.9</v>
      </c>
      <c r="C156" s="23">
        <v>10</v>
      </c>
      <c r="D156" s="22">
        <v>1049</v>
      </c>
      <c r="E156" s="23">
        <v>1300</v>
      </c>
      <c r="F156" s="23">
        <v>1049</v>
      </c>
      <c r="G156" s="22">
        <v>17.483333330000001</v>
      </c>
    </row>
    <row r="157" spans="1:7" ht="15" customHeight="1" x14ac:dyDescent="0.35">
      <c r="A157" s="20">
        <v>45970</v>
      </c>
      <c r="B157" s="22">
        <v>103.75</v>
      </c>
      <c r="C157" s="23">
        <v>12</v>
      </c>
      <c r="D157" s="22">
        <v>1245</v>
      </c>
      <c r="E157" s="23">
        <v>1560</v>
      </c>
      <c r="F157" s="23">
        <v>1245</v>
      </c>
      <c r="G157" s="22">
        <v>20.75</v>
      </c>
    </row>
    <row r="158" spans="1:7" ht="15" customHeight="1" x14ac:dyDescent="0.35">
      <c r="A158" s="20">
        <v>45971</v>
      </c>
      <c r="B158" s="22">
        <v>165.86959999999999</v>
      </c>
      <c r="C158" s="23">
        <v>23</v>
      </c>
      <c r="D158" s="22">
        <v>3815.0007999999998</v>
      </c>
      <c r="E158" s="23">
        <v>2990</v>
      </c>
      <c r="F158" s="23">
        <v>2990</v>
      </c>
      <c r="G158" s="22">
        <v>49.833300000000001</v>
      </c>
    </row>
    <row r="159" spans="1:7" ht="15" customHeight="1" x14ac:dyDescent="0.35">
      <c r="A159" s="20">
        <v>45972</v>
      </c>
      <c r="B159" s="22">
        <v>130.28569999999999</v>
      </c>
      <c r="C159" s="23">
        <v>14</v>
      </c>
      <c r="D159" s="22">
        <v>1823.9998000000001</v>
      </c>
      <c r="E159" s="23">
        <v>1820</v>
      </c>
      <c r="F159" s="23">
        <v>1820</v>
      </c>
      <c r="G159" s="22">
        <v>30.333300000000001</v>
      </c>
    </row>
    <row r="160" spans="1:7" ht="15" customHeight="1" x14ac:dyDescent="0.35">
      <c r="A160" s="20">
        <v>45973</v>
      </c>
      <c r="B160" s="22">
        <v>161</v>
      </c>
      <c r="C160" s="23">
        <v>16</v>
      </c>
      <c r="D160" s="22">
        <v>2576</v>
      </c>
      <c r="E160" s="23">
        <v>2080</v>
      </c>
      <c r="F160" s="23">
        <v>2080</v>
      </c>
      <c r="G160" s="22">
        <v>34.666699999999999</v>
      </c>
    </row>
    <row r="161" spans="1:7" ht="15" customHeight="1" x14ac:dyDescent="0.35">
      <c r="A161" s="20">
        <v>45974</v>
      </c>
      <c r="B161" s="22">
        <v>151</v>
      </c>
      <c r="C161" s="23">
        <v>20</v>
      </c>
      <c r="D161" s="22">
        <v>3020</v>
      </c>
      <c r="E161" s="23">
        <v>2600</v>
      </c>
      <c r="F161" s="23">
        <v>2600</v>
      </c>
      <c r="G161" s="22">
        <v>43.333300000000001</v>
      </c>
    </row>
    <row r="162" spans="1:7" ht="15" customHeight="1" x14ac:dyDescent="0.35">
      <c r="A162" s="20">
        <v>45975</v>
      </c>
      <c r="B162" s="22">
        <v>143.72219999999999</v>
      </c>
      <c r="C162" s="23">
        <v>18</v>
      </c>
      <c r="D162" s="22">
        <v>2586.9996000000001</v>
      </c>
      <c r="E162" s="23">
        <v>2340</v>
      </c>
      <c r="F162" s="23">
        <v>2340</v>
      </c>
      <c r="G162" s="22">
        <v>39</v>
      </c>
    </row>
    <row r="163" spans="1:7" ht="15" customHeight="1" x14ac:dyDescent="0.35">
      <c r="A163" s="20">
        <v>45976</v>
      </c>
      <c r="B163" s="22">
        <v>208.1053</v>
      </c>
      <c r="C163" s="23">
        <v>19</v>
      </c>
      <c r="D163" s="22">
        <v>3954.0007000000001</v>
      </c>
      <c r="E163" s="23">
        <v>2470</v>
      </c>
      <c r="F163" s="23">
        <v>2470</v>
      </c>
      <c r="G163" s="22">
        <v>41.166699999999999</v>
      </c>
    </row>
    <row r="164" spans="1:7" ht="15" customHeight="1" x14ac:dyDescent="0.35">
      <c r="A164" s="20">
        <v>45977</v>
      </c>
      <c r="B164" s="22">
        <v>174.8125</v>
      </c>
      <c r="C164" s="23">
        <v>16</v>
      </c>
      <c r="D164" s="22">
        <v>2797</v>
      </c>
      <c r="E164" s="23">
        <v>2080</v>
      </c>
      <c r="F164" s="23">
        <v>2080</v>
      </c>
      <c r="G164" s="22">
        <v>34.666699999999999</v>
      </c>
    </row>
    <row r="165" spans="1:7" ht="15" customHeight="1" x14ac:dyDescent="0.35">
      <c r="A165" s="20">
        <v>45978</v>
      </c>
      <c r="B165" s="22">
        <v>173.16669999999999</v>
      </c>
      <c r="C165" s="23">
        <v>18</v>
      </c>
      <c r="D165" s="22">
        <v>3117.0005999999998</v>
      </c>
      <c r="E165" s="23">
        <v>2340</v>
      </c>
      <c r="F165" s="23">
        <v>2340</v>
      </c>
      <c r="G165" s="22">
        <v>39</v>
      </c>
    </row>
    <row r="166" spans="1:7" ht="15" customHeight="1" x14ac:dyDescent="0.35">
      <c r="A166" s="20">
        <v>45979</v>
      </c>
      <c r="B166" s="22">
        <v>193.625</v>
      </c>
      <c r="C166" s="23">
        <v>24</v>
      </c>
      <c r="D166" s="22">
        <v>4647</v>
      </c>
      <c r="E166" s="23">
        <v>3120</v>
      </c>
      <c r="F166" s="23">
        <v>3120</v>
      </c>
      <c r="G166" s="22">
        <v>52</v>
      </c>
    </row>
    <row r="167" spans="1:7" ht="15" customHeight="1" x14ac:dyDescent="0.35">
      <c r="A167" s="20">
        <v>45980</v>
      </c>
      <c r="B167" s="22">
        <v>108.7368</v>
      </c>
      <c r="C167" s="23">
        <v>19</v>
      </c>
      <c r="D167" s="22">
        <v>2065.9992000000002</v>
      </c>
      <c r="E167" s="23">
        <v>2470</v>
      </c>
      <c r="F167" s="23">
        <v>2065.9992000000002</v>
      </c>
      <c r="G167" s="22">
        <v>34.433320000000002</v>
      </c>
    </row>
    <row r="168" spans="1:7" ht="15" customHeight="1" x14ac:dyDescent="0.35">
      <c r="A168" s="20">
        <v>45981</v>
      </c>
      <c r="B168" s="22">
        <v>155.2105</v>
      </c>
      <c r="C168" s="23">
        <v>19</v>
      </c>
      <c r="D168" s="22">
        <v>2948.9994999999999</v>
      </c>
      <c r="E168" s="23">
        <v>2470</v>
      </c>
      <c r="F168" s="23">
        <v>2470</v>
      </c>
      <c r="G168" s="22">
        <v>41.166699999999999</v>
      </c>
    </row>
    <row r="169" spans="1:7" ht="15" customHeight="1" x14ac:dyDescent="0.35">
      <c r="A169" s="20">
        <v>45982</v>
      </c>
      <c r="B169" s="22">
        <v>185.22219999999999</v>
      </c>
      <c r="C169" s="23">
        <v>18</v>
      </c>
      <c r="D169" s="22">
        <v>3333.9996000000001</v>
      </c>
      <c r="E169" s="23">
        <v>2340</v>
      </c>
      <c r="F169" s="23">
        <v>2340</v>
      </c>
      <c r="G169" s="22">
        <v>39</v>
      </c>
    </row>
    <row r="170" spans="1:7" ht="15" customHeight="1" x14ac:dyDescent="0.35">
      <c r="A170" s="20">
        <v>45983</v>
      </c>
      <c r="B170" s="22">
        <v>109.9375</v>
      </c>
      <c r="C170" s="23">
        <v>32</v>
      </c>
      <c r="D170" s="22">
        <v>3518</v>
      </c>
      <c r="E170" s="23">
        <v>4160</v>
      </c>
      <c r="F170" s="23">
        <v>3518</v>
      </c>
      <c r="G170" s="22">
        <v>58.633333329999999</v>
      </c>
    </row>
    <row r="171" spans="1:7" ht="15" customHeight="1" x14ac:dyDescent="0.35">
      <c r="A171" s="20">
        <v>45984</v>
      </c>
      <c r="B171" s="22">
        <v>97.739099999999993</v>
      </c>
      <c r="C171" s="23">
        <v>23</v>
      </c>
      <c r="D171" s="22">
        <v>2247.9992999999999</v>
      </c>
      <c r="E171" s="23">
        <v>2990</v>
      </c>
      <c r="F171" s="23">
        <v>2247.9992999999999</v>
      </c>
      <c r="G171" s="22">
        <v>37.466655000000003</v>
      </c>
    </row>
    <row r="172" spans="1:7" ht="15" customHeight="1" x14ac:dyDescent="0.35">
      <c r="A172" s="20">
        <v>45985</v>
      </c>
      <c r="B172" s="22">
        <v>195.6875</v>
      </c>
      <c r="C172" s="23">
        <v>16</v>
      </c>
      <c r="D172" s="22">
        <v>3131</v>
      </c>
      <c r="E172" s="23">
        <v>2080</v>
      </c>
      <c r="F172" s="23">
        <v>2080</v>
      </c>
      <c r="G172" s="22">
        <v>34.666699999999999</v>
      </c>
    </row>
    <row r="173" spans="1:7" ht="15" customHeight="1" x14ac:dyDescent="0.35">
      <c r="A173" s="20">
        <v>45986</v>
      </c>
      <c r="B173" s="22">
        <v>126.3462</v>
      </c>
      <c r="C173" s="23">
        <v>26</v>
      </c>
      <c r="D173" s="22">
        <v>3285.0012000000002</v>
      </c>
      <c r="E173" s="23">
        <v>3380</v>
      </c>
      <c r="F173" s="23">
        <v>3285.0012000000002</v>
      </c>
      <c r="G173" s="22">
        <v>54.750019999999999</v>
      </c>
    </row>
    <row r="174" spans="1:7" ht="15" customHeight="1" x14ac:dyDescent="0.35">
      <c r="A174" s="20">
        <v>45987</v>
      </c>
      <c r="B174" s="22">
        <v>196.10339999999999</v>
      </c>
      <c r="C174" s="23">
        <v>29</v>
      </c>
      <c r="D174" s="22">
        <v>5686.9985999999999</v>
      </c>
      <c r="E174" s="23">
        <v>3770</v>
      </c>
      <c r="F174" s="23">
        <v>3770</v>
      </c>
      <c r="G174" s="22">
        <v>62.833300000000001</v>
      </c>
    </row>
    <row r="175" spans="1:7" ht="15" customHeight="1" x14ac:dyDescent="0.35">
      <c r="A175" s="20">
        <v>45988</v>
      </c>
      <c r="B175" s="22">
        <v>181</v>
      </c>
      <c r="C175" s="23">
        <v>21</v>
      </c>
      <c r="D175" s="22">
        <v>3801</v>
      </c>
      <c r="E175" s="23">
        <v>2730</v>
      </c>
      <c r="F175" s="23">
        <v>2730</v>
      </c>
      <c r="G175" s="22">
        <v>45.5</v>
      </c>
    </row>
    <row r="176" spans="1:7" ht="15" customHeight="1" x14ac:dyDescent="0.35">
      <c r="A176" s="20">
        <v>45989</v>
      </c>
      <c r="B176" s="22">
        <v>118.04349999999999</v>
      </c>
      <c r="C176" s="23">
        <v>23</v>
      </c>
      <c r="D176" s="22">
        <v>2715.0005000000001</v>
      </c>
      <c r="E176" s="23">
        <v>2990</v>
      </c>
      <c r="F176" s="23">
        <v>2715.0005000000001</v>
      </c>
      <c r="G176" s="22">
        <v>45.25000833</v>
      </c>
    </row>
    <row r="177" spans="1:7" ht="15" customHeight="1" x14ac:dyDescent="0.35">
      <c r="A177" s="20">
        <v>45990</v>
      </c>
      <c r="B177" s="22">
        <v>197.2593</v>
      </c>
      <c r="C177" s="23">
        <v>27</v>
      </c>
      <c r="D177" s="22">
        <v>5326.0011000000004</v>
      </c>
      <c r="E177" s="23">
        <v>3510</v>
      </c>
      <c r="F177" s="23">
        <v>3510</v>
      </c>
      <c r="G177" s="22">
        <v>58.5</v>
      </c>
    </row>
    <row r="178" spans="1:7" ht="15" customHeight="1" x14ac:dyDescent="0.35">
      <c r="A178" s="20">
        <v>45991</v>
      </c>
      <c r="B178" s="22">
        <v>163.64709999999999</v>
      </c>
      <c r="C178" s="23">
        <v>17</v>
      </c>
      <c r="D178" s="22">
        <v>2782.0007000000001</v>
      </c>
      <c r="E178" s="23">
        <v>2210</v>
      </c>
      <c r="F178" s="23">
        <v>2210</v>
      </c>
      <c r="G178" s="22">
        <v>36.833300000000001</v>
      </c>
    </row>
    <row r="179" spans="1:7" ht="15" customHeight="1" x14ac:dyDescent="0.35">
      <c r="A179" s="20"/>
      <c r="B179" s="22"/>
      <c r="C179" s="23"/>
      <c r="D179" s="22"/>
      <c r="E179" s="23"/>
      <c r="F179" s="23"/>
      <c r="G179" s="22"/>
    </row>
    <row r="180" spans="1:7" ht="15" customHeight="1" x14ac:dyDescent="0.35">
      <c r="A180" s="72"/>
      <c r="B180" s="73"/>
      <c r="C180" s="74">
        <f>SUBTOTAL(109,Table822[Call Count])</f>
        <v>595</v>
      </c>
      <c r="D180" s="74">
        <f>SUBTOTAL(109,Table822[Total Duration (S)])</f>
        <v>92657.001000000004</v>
      </c>
      <c r="E180" s="74"/>
      <c r="F180" s="74"/>
      <c r="G180" s="73">
        <f>SUBTOTAL(109,Table822[Unit (Minutes)])</f>
        <v>1239.6833716599999</v>
      </c>
    </row>
    <row r="181" spans="1:7" ht="15" customHeight="1" x14ac:dyDescent="0.35">
      <c r="A181" s="25"/>
    </row>
    <row r="182" spans="1:7" s="40" customFormat="1" ht="15" customHeight="1" x14ac:dyDescent="0.35">
      <c r="A182" s="127" t="s">
        <v>15</v>
      </c>
      <c r="B182" s="127"/>
      <c r="C182" s="127"/>
      <c r="D182" s="127"/>
      <c r="E182" s="127"/>
      <c r="F182" s="127"/>
      <c r="G182" s="127"/>
    </row>
    <row r="183" spans="1:7" ht="26" x14ac:dyDescent="0.35">
      <c r="A183" s="30" t="s">
        <v>6</v>
      </c>
      <c r="B183" s="29" t="s">
        <v>8</v>
      </c>
      <c r="C183" s="29" t="s">
        <v>7</v>
      </c>
      <c r="D183" s="29" t="s">
        <v>9</v>
      </c>
      <c r="E183" s="29" t="s">
        <v>19</v>
      </c>
      <c r="F183" s="29" t="s">
        <v>12</v>
      </c>
      <c r="G183" s="29" t="s">
        <v>13</v>
      </c>
    </row>
    <row r="184" spans="1:7" ht="15" customHeight="1" x14ac:dyDescent="0.35">
      <c r="A184" s="20"/>
      <c r="B184" s="22"/>
      <c r="C184" s="23"/>
      <c r="D184" s="22"/>
      <c r="E184" s="23"/>
      <c r="F184" s="22"/>
      <c r="G184" s="22"/>
    </row>
    <row r="185" spans="1:7" ht="15" customHeight="1" x14ac:dyDescent="0.35">
      <c r="A185" s="42"/>
      <c r="B185" s="44"/>
      <c r="C185" s="44"/>
      <c r="D185" s="44"/>
      <c r="E185" s="44"/>
      <c r="F185" s="44"/>
      <c r="G185" s="45">
        <f>SUBTOTAL(109,Table1125[Unit (Minutes)])</f>
        <v>0</v>
      </c>
    </row>
    <row r="186" spans="1:7" ht="15" customHeight="1" x14ac:dyDescent="0.35">
      <c r="A186" s="25"/>
    </row>
    <row r="187" spans="1:7" ht="15" customHeight="1" x14ac:dyDescent="0.35">
      <c r="A187" s="125" t="s">
        <v>17</v>
      </c>
      <c r="B187" s="125"/>
      <c r="C187" s="125"/>
      <c r="D187" s="125"/>
      <c r="E187" s="125"/>
      <c r="F187" s="125"/>
      <c r="G187" s="125"/>
    </row>
    <row r="188" spans="1:7" ht="15" customHeight="1" x14ac:dyDescent="0.35">
      <c r="A188" s="126" t="s">
        <v>11</v>
      </c>
      <c r="B188" s="126"/>
      <c r="C188" s="126"/>
      <c r="D188" s="126"/>
      <c r="E188" s="126"/>
      <c r="F188" s="126"/>
      <c r="G188" s="39">
        <v>150</v>
      </c>
    </row>
    <row r="189" spans="1:7" ht="15" customHeight="1" x14ac:dyDescent="0.35">
      <c r="A189" s="126" t="s">
        <v>14</v>
      </c>
      <c r="B189" s="126"/>
      <c r="C189" s="126"/>
      <c r="D189" s="126"/>
      <c r="E189" s="126"/>
      <c r="F189" s="126"/>
      <c r="G189" s="126"/>
    </row>
    <row r="190" spans="1:7" ht="15" customHeight="1" x14ac:dyDescent="0.35">
      <c r="A190" s="126" t="s">
        <v>89</v>
      </c>
      <c r="B190" s="126"/>
      <c r="C190" s="126"/>
      <c r="D190" s="126"/>
      <c r="E190" s="126"/>
      <c r="F190" s="126"/>
      <c r="G190" s="126"/>
    </row>
    <row r="191" spans="1:7" ht="26" x14ac:dyDescent="0.35">
      <c r="A191" s="19" t="s">
        <v>6</v>
      </c>
      <c r="B191" s="29" t="s">
        <v>8</v>
      </c>
      <c r="C191" s="29" t="s">
        <v>7</v>
      </c>
      <c r="D191" s="29" t="s">
        <v>9</v>
      </c>
      <c r="E191" s="29" t="s">
        <v>20</v>
      </c>
      <c r="F191" s="29" t="s">
        <v>12</v>
      </c>
      <c r="G191" s="29" t="s">
        <v>13</v>
      </c>
    </row>
    <row r="192" spans="1:7" ht="15" customHeight="1" x14ac:dyDescent="0.35">
      <c r="A192" s="20">
        <v>45962</v>
      </c>
      <c r="B192" s="22">
        <v>111.2</v>
      </c>
      <c r="C192" s="23">
        <v>280</v>
      </c>
      <c r="D192" s="22">
        <v>31136</v>
      </c>
      <c r="E192" s="23">
        <v>42000</v>
      </c>
      <c r="F192" s="22">
        <v>31136</v>
      </c>
      <c r="G192" s="22">
        <v>518.93333332999998</v>
      </c>
    </row>
    <row r="193" spans="1:7" ht="15" customHeight="1" x14ac:dyDescent="0.35">
      <c r="A193" s="20">
        <v>45963</v>
      </c>
      <c r="B193" s="22">
        <v>102.9237</v>
      </c>
      <c r="C193" s="23">
        <v>236</v>
      </c>
      <c r="D193" s="22">
        <v>24289.993200000001</v>
      </c>
      <c r="E193" s="23">
        <v>35400</v>
      </c>
      <c r="F193" s="22">
        <v>24289.993200000001</v>
      </c>
      <c r="G193" s="22">
        <v>404.83321999999998</v>
      </c>
    </row>
    <row r="194" spans="1:7" ht="15" customHeight="1" x14ac:dyDescent="0.35">
      <c r="A194" s="20">
        <v>45964</v>
      </c>
      <c r="B194" s="22">
        <v>116.7717</v>
      </c>
      <c r="C194" s="23">
        <v>276</v>
      </c>
      <c r="D194" s="22">
        <v>32228.9892</v>
      </c>
      <c r="E194" s="23">
        <v>41400</v>
      </c>
      <c r="F194" s="22">
        <v>32228.9892</v>
      </c>
      <c r="G194" s="22">
        <v>537.14981999999998</v>
      </c>
    </row>
    <row r="195" spans="1:7" ht="15" customHeight="1" x14ac:dyDescent="0.35">
      <c r="A195" s="20">
        <v>45965</v>
      </c>
      <c r="B195" s="22">
        <v>118.9145</v>
      </c>
      <c r="C195" s="23">
        <v>339</v>
      </c>
      <c r="D195" s="22">
        <v>40312.015500000001</v>
      </c>
      <c r="E195" s="23">
        <v>50850</v>
      </c>
      <c r="F195" s="22">
        <v>40312.015500000001</v>
      </c>
      <c r="G195" s="22">
        <v>671.86692500000004</v>
      </c>
    </row>
    <row r="196" spans="1:7" ht="15" customHeight="1" x14ac:dyDescent="0.35">
      <c r="A196" s="20">
        <v>45966</v>
      </c>
      <c r="B196" s="22">
        <v>133.5</v>
      </c>
      <c r="C196" s="23">
        <v>274</v>
      </c>
      <c r="D196" s="22">
        <v>36579</v>
      </c>
      <c r="E196" s="23">
        <v>41100</v>
      </c>
      <c r="F196" s="22">
        <v>36579</v>
      </c>
      <c r="G196" s="22">
        <v>609.65</v>
      </c>
    </row>
    <row r="197" spans="1:7" ht="15" customHeight="1" x14ac:dyDescent="0.35">
      <c r="A197" s="20">
        <v>45967</v>
      </c>
      <c r="B197" s="22">
        <v>112.77209999999999</v>
      </c>
      <c r="C197" s="23">
        <v>294</v>
      </c>
      <c r="D197" s="22">
        <v>33154.9974</v>
      </c>
      <c r="E197" s="23">
        <v>44100</v>
      </c>
      <c r="F197" s="22">
        <v>33154.9974</v>
      </c>
      <c r="G197" s="22">
        <v>552.58329000000003</v>
      </c>
    </row>
    <row r="198" spans="1:7" ht="15" customHeight="1" x14ac:dyDescent="0.35">
      <c r="A198" s="20">
        <v>45968</v>
      </c>
      <c r="B198" s="22">
        <v>124.1797</v>
      </c>
      <c r="C198" s="23">
        <v>295</v>
      </c>
      <c r="D198" s="22">
        <v>36633.011500000001</v>
      </c>
      <c r="E198" s="23">
        <v>44250</v>
      </c>
      <c r="F198" s="22">
        <v>36633.011500000001</v>
      </c>
      <c r="G198" s="22">
        <v>610.55019167</v>
      </c>
    </row>
    <row r="199" spans="1:7" ht="15" customHeight="1" x14ac:dyDescent="0.35">
      <c r="A199" s="20">
        <v>45969</v>
      </c>
      <c r="B199" s="22">
        <v>119.3828</v>
      </c>
      <c r="C199" s="23">
        <v>256</v>
      </c>
      <c r="D199" s="22">
        <v>30561.996800000001</v>
      </c>
      <c r="E199" s="23">
        <v>38400</v>
      </c>
      <c r="F199" s="22">
        <v>30561.996800000001</v>
      </c>
      <c r="G199" s="22">
        <v>509.36661333000001</v>
      </c>
    </row>
    <row r="200" spans="1:7" ht="15" customHeight="1" x14ac:dyDescent="0.35">
      <c r="A200" s="20">
        <v>45970</v>
      </c>
      <c r="B200" s="22">
        <v>127.4744</v>
      </c>
      <c r="C200" s="23">
        <v>215</v>
      </c>
      <c r="D200" s="22">
        <v>27406.995999999999</v>
      </c>
      <c r="E200" s="23">
        <v>32250</v>
      </c>
      <c r="F200" s="22">
        <v>27406.995999999999</v>
      </c>
      <c r="G200" s="22">
        <v>456.78326666999999</v>
      </c>
    </row>
    <row r="201" spans="1:7" ht="15" customHeight="1" x14ac:dyDescent="0.35">
      <c r="A201" s="20">
        <v>45971</v>
      </c>
      <c r="B201" s="22">
        <v>119.2239</v>
      </c>
      <c r="C201" s="23">
        <v>326</v>
      </c>
      <c r="D201" s="22">
        <v>38866.991399999999</v>
      </c>
      <c r="E201" s="23">
        <v>48900</v>
      </c>
      <c r="F201" s="22">
        <v>38866.991399999999</v>
      </c>
      <c r="G201" s="22">
        <v>647.78318999999999</v>
      </c>
    </row>
    <row r="202" spans="1:7" ht="15" customHeight="1" x14ac:dyDescent="0.35">
      <c r="A202" s="20">
        <v>45972</v>
      </c>
      <c r="B202" s="22">
        <v>123.6413</v>
      </c>
      <c r="C202" s="23">
        <v>315</v>
      </c>
      <c r="D202" s="22">
        <v>38947.0095</v>
      </c>
      <c r="E202" s="23">
        <v>47250</v>
      </c>
      <c r="F202" s="22">
        <v>38947.0095</v>
      </c>
      <c r="G202" s="22">
        <v>649.11682499999995</v>
      </c>
    </row>
    <row r="203" spans="1:7" ht="15" customHeight="1" x14ac:dyDescent="0.35">
      <c r="A203" s="20">
        <v>45973</v>
      </c>
      <c r="B203" s="22">
        <v>130.54329999999999</v>
      </c>
      <c r="C203" s="23">
        <v>300</v>
      </c>
      <c r="D203" s="22">
        <v>39162.99</v>
      </c>
      <c r="E203" s="23">
        <v>45000</v>
      </c>
      <c r="F203" s="22">
        <v>39162.99</v>
      </c>
      <c r="G203" s="22">
        <v>652.7165</v>
      </c>
    </row>
    <row r="204" spans="1:7" ht="15" customHeight="1" x14ac:dyDescent="0.35">
      <c r="A204" s="20">
        <v>45974</v>
      </c>
      <c r="B204" s="22">
        <v>111.6006</v>
      </c>
      <c r="C204" s="23">
        <v>333</v>
      </c>
      <c r="D204" s="22">
        <v>37162.999799999998</v>
      </c>
      <c r="E204" s="23">
        <v>49950</v>
      </c>
      <c r="F204" s="22">
        <v>37162.999799999998</v>
      </c>
      <c r="G204" s="22">
        <v>619.38333</v>
      </c>
    </row>
    <row r="205" spans="1:7" ht="15" customHeight="1" x14ac:dyDescent="0.35">
      <c r="A205" s="20">
        <v>45975</v>
      </c>
      <c r="B205" s="22">
        <v>118.512</v>
      </c>
      <c r="C205" s="23">
        <v>291</v>
      </c>
      <c r="D205" s="22">
        <v>34486.991999999998</v>
      </c>
      <c r="E205" s="23">
        <v>43650</v>
      </c>
      <c r="F205" s="22">
        <v>34486.991999999998</v>
      </c>
      <c r="G205" s="22">
        <v>574.78319999999997</v>
      </c>
    </row>
    <row r="206" spans="1:7" ht="15" customHeight="1" x14ac:dyDescent="0.35">
      <c r="A206" s="20">
        <v>45976</v>
      </c>
      <c r="B206" s="22">
        <v>120.99630000000001</v>
      </c>
      <c r="C206" s="23">
        <v>270</v>
      </c>
      <c r="D206" s="22">
        <v>32669.001</v>
      </c>
      <c r="E206" s="23">
        <v>40500</v>
      </c>
      <c r="F206" s="22">
        <v>32669.001</v>
      </c>
      <c r="G206" s="22">
        <v>544.48334999999997</v>
      </c>
    </row>
    <row r="207" spans="1:7" ht="15" customHeight="1" x14ac:dyDescent="0.35">
      <c r="A207" s="20">
        <v>45977</v>
      </c>
      <c r="B207" s="22">
        <v>118.1408</v>
      </c>
      <c r="C207" s="23">
        <v>206</v>
      </c>
      <c r="D207" s="22">
        <v>24337.004799999999</v>
      </c>
      <c r="E207" s="23">
        <v>30900</v>
      </c>
      <c r="F207" s="22">
        <v>24337.004799999999</v>
      </c>
      <c r="G207" s="22">
        <v>405.61674667</v>
      </c>
    </row>
    <row r="208" spans="1:7" ht="15" customHeight="1" x14ac:dyDescent="0.35">
      <c r="A208" s="20">
        <v>45978</v>
      </c>
      <c r="B208" s="22">
        <v>116.9302</v>
      </c>
      <c r="C208" s="23">
        <v>344</v>
      </c>
      <c r="D208" s="22">
        <v>40223.988799999999</v>
      </c>
      <c r="E208" s="23">
        <v>51600</v>
      </c>
      <c r="F208" s="22">
        <v>40223.988799999999</v>
      </c>
      <c r="G208" s="22">
        <v>670.39981333000003</v>
      </c>
    </row>
    <row r="209" spans="1:7" ht="15" customHeight="1" x14ac:dyDescent="0.35">
      <c r="A209" s="20">
        <v>45979</v>
      </c>
      <c r="B209" s="22">
        <v>116.87690000000001</v>
      </c>
      <c r="C209" s="23">
        <v>325</v>
      </c>
      <c r="D209" s="22">
        <v>37984.9925</v>
      </c>
      <c r="E209" s="23">
        <v>48750</v>
      </c>
      <c r="F209" s="22">
        <v>37984.9925</v>
      </c>
      <c r="G209" s="22">
        <v>633.08320833000005</v>
      </c>
    </row>
    <row r="210" spans="1:7" ht="15" customHeight="1" x14ac:dyDescent="0.35">
      <c r="A210" s="20">
        <v>45980</v>
      </c>
      <c r="B210" s="22">
        <v>109.06699999999999</v>
      </c>
      <c r="C210" s="23">
        <v>358</v>
      </c>
      <c r="D210" s="22">
        <v>39045.985999999997</v>
      </c>
      <c r="E210" s="23">
        <v>53700</v>
      </c>
      <c r="F210" s="22">
        <v>39045.985999999997</v>
      </c>
      <c r="G210" s="22">
        <v>650.76643333000004</v>
      </c>
    </row>
    <row r="211" spans="1:7" ht="15" customHeight="1" x14ac:dyDescent="0.35">
      <c r="A211" s="20">
        <v>45981</v>
      </c>
      <c r="B211" s="22">
        <v>120.25709999999999</v>
      </c>
      <c r="C211" s="23">
        <v>385</v>
      </c>
      <c r="D211" s="22">
        <v>46298.983500000002</v>
      </c>
      <c r="E211" s="23">
        <v>57750</v>
      </c>
      <c r="F211" s="22">
        <v>46298.983500000002</v>
      </c>
      <c r="G211" s="22">
        <v>771.64972499999999</v>
      </c>
    </row>
    <row r="212" spans="1:7" ht="15" customHeight="1" x14ac:dyDescent="0.35">
      <c r="A212" s="20">
        <v>45982</v>
      </c>
      <c r="B212" s="22">
        <v>113.9652</v>
      </c>
      <c r="C212" s="23">
        <v>287</v>
      </c>
      <c r="D212" s="22">
        <v>32708.0124</v>
      </c>
      <c r="E212" s="23">
        <v>43050</v>
      </c>
      <c r="F212" s="22">
        <v>32708.0124</v>
      </c>
      <c r="G212" s="22">
        <v>545.13354000000004</v>
      </c>
    </row>
    <row r="213" spans="1:7" ht="15" customHeight="1" x14ac:dyDescent="0.35">
      <c r="A213" s="20">
        <v>45983</v>
      </c>
      <c r="B213" s="22">
        <v>103.46250000000001</v>
      </c>
      <c r="C213" s="23">
        <v>333</v>
      </c>
      <c r="D213" s="22">
        <v>34453.012499999997</v>
      </c>
      <c r="E213" s="23">
        <v>49950</v>
      </c>
      <c r="F213" s="22">
        <v>34453.012499999997</v>
      </c>
      <c r="G213" s="22">
        <v>574.21687499999996</v>
      </c>
    </row>
    <row r="214" spans="1:7" ht="15" customHeight="1" x14ac:dyDescent="0.35">
      <c r="A214" s="20">
        <v>45984</v>
      </c>
      <c r="B214" s="22">
        <v>115.19119999999999</v>
      </c>
      <c r="C214" s="23">
        <v>251</v>
      </c>
      <c r="D214" s="22">
        <v>28912.9912</v>
      </c>
      <c r="E214" s="23">
        <v>37650</v>
      </c>
      <c r="F214" s="22">
        <v>28912.9912</v>
      </c>
      <c r="G214" s="22">
        <v>481.88318666999999</v>
      </c>
    </row>
    <row r="215" spans="1:7" ht="15" customHeight="1" x14ac:dyDescent="0.35">
      <c r="A215" s="20">
        <v>45985</v>
      </c>
      <c r="B215" s="22">
        <v>111.4028</v>
      </c>
      <c r="C215" s="23">
        <v>360</v>
      </c>
      <c r="D215" s="22">
        <v>40105.008000000002</v>
      </c>
      <c r="E215" s="23">
        <v>54000</v>
      </c>
      <c r="F215" s="22">
        <v>40105.008000000002</v>
      </c>
      <c r="G215" s="22">
        <v>668.41679999999997</v>
      </c>
    </row>
    <row r="216" spans="1:7" ht="15" customHeight="1" x14ac:dyDescent="0.35">
      <c r="A216" s="20">
        <v>45986</v>
      </c>
      <c r="B216" s="22">
        <v>110.16630000000001</v>
      </c>
      <c r="C216" s="23">
        <v>433</v>
      </c>
      <c r="D216" s="22">
        <v>47702.007899999997</v>
      </c>
      <c r="E216" s="23">
        <v>64950</v>
      </c>
      <c r="F216" s="22">
        <v>47702.007899999997</v>
      </c>
      <c r="G216" s="22">
        <v>795.03346499999998</v>
      </c>
    </row>
    <row r="217" spans="1:7" s="40" customFormat="1" ht="15" customHeight="1" x14ac:dyDescent="0.35">
      <c r="A217" s="20">
        <v>45987</v>
      </c>
      <c r="B217" s="22">
        <v>109.6035</v>
      </c>
      <c r="C217" s="23">
        <v>396</v>
      </c>
      <c r="D217" s="22">
        <v>43402.985999999997</v>
      </c>
      <c r="E217" s="23">
        <v>59400</v>
      </c>
      <c r="F217" s="22">
        <v>43402.985999999997</v>
      </c>
      <c r="G217" s="22">
        <v>723.38310000000001</v>
      </c>
    </row>
    <row r="218" spans="1:7" s="40" customFormat="1" ht="15" customHeight="1" x14ac:dyDescent="0.35">
      <c r="A218" s="20">
        <v>45988</v>
      </c>
      <c r="B218" s="22">
        <v>103.3496</v>
      </c>
      <c r="C218" s="23">
        <v>389</v>
      </c>
      <c r="D218" s="22">
        <v>40202.994400000003</v>
      </c>
      <c r="E218" s="23">
        <v>58350</v>
      </c>
      <c r="F218" s="22">
        <v>40202.994400000003</v>
      </c>
      <c r="G218" s="22">
        <v>670.04990667000004</v>
      </c>
    </row>
    <row r="219" spans="1:7" s="40" customFormat="1" ht="15" customHeight="1" x14ac:dyDescent="0.35">
      <c r="A219" s="20">
        <v>45989</v>
      </c>
      <c r="B219" s="22">
        <v>110.68210000000001</v>
      </c>
      <c r="C219" s="23">
        <v>324</v>
      </c>
      <c r="D219" s="22">
        <v>35861.000399999997</v>
      </c>
      <c r="E219" s="23">
        <v>48600</v>
      </c>
      <c r="F219" s="22">
        <v>35861.000399999997</v>
      </c>
      <c r="G219" s="22">
        <v>597.68334000000004</v>
      </c>
    </row>
    <row r="220" spans="1:7" s="40" customFormat="1" ht="15" customHeight="1" x14ac:dyDescent="0.35">
      <c r="A220" s="20">
        <v>45990</v>
      </c>
      <c r="B220" s="22">
        <v>109.3069</v>
      </c>
      <c r="C220" s="23">
        <v>378</v>
      </c>
      <c r="D220" s="22">
        <v>41318.008199999997</v>
      </c>
      <c r="E220" s="23">
        <v>56700</v>
      </c>
      <c r="F220" s="22">
        <v>41318.008199999997</v>
      </c>
      <c r="G220" s="22">
        <v>688.63346999999999</v>
      </c>
    </row>
    <row r="221" spans="1:7" ht="15" customHeight="1" x14ac:dyDescent="0.35">
      <c r="A221" s="20">
        <v>45991</v>
      </c>
      <c r="B221" s="22">
        <v>103.5698</v>
      </c>
      <c r="C221" s="23">
        <v>265</v>
      </c>
      <c r="D221" s="22">
        <v>27445.996999999999</v>
      </c>
      <c r="E221" s="23">
        <v>39750</v>
      </c>
      <c r="F221" s="22">
        <v>27445.996999999999</v>
      </c>
      <c r="G221" s="22">
        <v>457.43328332999999</v>
      </c>
    </row>
    <row r="222" spans="1:7" ht="15" customHeight="1" x14ac:dyDescent="0.35">
      <c r="A222" s="20"/>
      <c r="B222" s="22"/>
      <c r="C222" s="23"/>
      <c r="D222" s="22"/>
      <c r="E222" s="23"/>
      <c r="F222" s="22"/>
      <c r="G222" s="22"/>
    </row>
    <row r="223" spans="1:7" ht="15" customHeight="1" x14ac:dyDescent="0.35">
      <c r="A223" s="72"/>
      <c r="B223" s="74"/>
      <c r="C223" s="74">
        <f>SUBTOTAL(109,Table923[Call Count])</f>
        <v>9334</v>
      </c>
      <c r="D223" s="74"/>
      <c r="E223" s="74"/>
      <c r="F223" s="74"/>
      <c r="G223" s="73">
        <f>SUBTOTAL(109,Table923[Unit (Minutes)])</f>
        <v>17893.365948329996</v>
      </c>
    </row>
    <row r="224" spans="1:7" ht="15" customHeight="1" x14ac:dyDescent="0.35">
      <c r="A224" s="25"/>
    </row>
    <row r="225" spans="1:7" ht="15" customHeight="1" x14ac:dyDescent="0.35">
      <c r="A225" s="126" t="s">
        <v>90</v>
      </c>
      <c r="B225" s="126"/>
      <c r="C225" s="126"/>
      <c r="D225" s="126"/>
      <c r="E225" s="126"/>
      <c r="F225" s="126"/>
      <c r="G225" s="126"/>
    </row>
    <row r="226" spans="1:7" ht="26" x14ac:dyDescent="0.35">
      <c r="A226" s="19" t="s">
        <v>6</v>
      </c>
      <c r="B226" s="29" t="s">
        <v>8</v>
      </c>
      <c r="C226" s="29" t="s">
        <v>7</v>
      </c>
      <c r="D226" s="29" t="s">
        <v>9</v>
      </c>
      <c r="E226" s="29" t="s">
        <v>20</v>
      </c>
      <c r="F226" s="29" t="s">
        <v>12</v>
      </c>
      <c r="G226" s="29" t="s">
        <v>13</v>
      </c>
    </row>
    <row r="227" spans="1:7" ht="15" customHeight="1" x14ac:dyDescent="0.35">
      <c r="A227" s="20">
        <v>45964</v>
      </c>
      <c r="B227" s="22">
        <v>65</v>
      </c>
      <c r="C227" s="23">
        <v>1</v>
      </c>
      <c r="D227" s="22">
        <v>65</v>
      </c>
      <c r="E227" s="23">
        <v>150</v>
      </c>
      <c r="F227" s="23">
        <v>65</v>
      </c>
      <c r="G227" s="22">
        <v>1.0833333300000001</v>
      </c>
    </row>
    <row r="228" spans="1:7" ht="15" customHeight="1" x14ac:dyDescent="0.35">
      <c r="A228" s="20">
        <v>45965</v>
      </c>
      <c r="B228" s="22">
        <v>70</v>
      </c>
      <c r="C228" s="23">
        <v>1</v>
      </c>
      <c r="D228" s="22">
        <v>70</v>
      </c>
      <c r="E228" s="23">
        <v>150</v>
      </c>
      <c r="F228" s="23">
        <v>70</v>
      </c>
      <c r="G228" s="22">
        <v>1.1666666699999999</v>
      </c>
    </row>
    <row r="229" spans="1:7" ht="15" customHeight="1" x14ac:dyDescent="0.35">
      <c r="A229" s="20">
        <v>45966</v>
      </c>
      <c r="B229" s="22">
        <v>89</v>
      </c>
      <c r="C229" s="23">
        <v>1</v>
      </c>
      <c r="D229" s="22">
        <v>89</v>
      </c>
      <c r="E229" s="23">
        <v>150</v>
      </c>
      <c r="F229" s="23">
        <v>89</v>
      </c>
      <c r="G229" s="22">
        <v>1.48333333</v>
      </c>
    </row>
    <row r="230" spans="1:7" ht="15" customHeight="1" x14ac:dyDescent="0.35">
      <c r="A230" s="20">
        <v>45967</v>
      </c>
      <c r="B230" s="22">
        <v>65.5</v>
      </c>
      <c r="C230" s="23">
        <v>2</v>
      </c>
      <c r="D230" s="22">
        <v>131</v>
      </c>
      <c r="E230" s="23">
        <v>300</v>
      </c>
      <c r="F230" s="23">
        <v>131</v>
      </c>
      <c r="G230" s="22">
        <v>2.18333333</v>
      </c>
    </row>
    <row r="231" spans="1:7" ht="15" customHeight="1" x14ac:dyDescent="0.35">
      <c r="A231" s="20">
        <v>45969</v>
      </c>
      <c r="B231" s="22">
        <v>98</v>
      </c>
      <c r="C231" s="23">
        <v>2</v>
      </c>
      <c r="D231" s="22">
        <v>196</v>
      </c>
      <c r="E231" s="23">
        <v>300</v>
      </c>
      <c r="F231" s="23">
        <v>196</v>
      </c>
      <c r="G231" s="22">
        <v>3.2666666700000002</v>
      </c>
    </row>
    <row r="232" spans="1:7" ht="15" customHeight="1" x14ac:dyDescent="0.35">
      <c r="A232" s="20">
        <v>45970</v>
      </c>
      <c r="B232" s="22">
        <v>86</v>
      </c>
      <c r="C232" s="23">
        <v>1</v>
      </c>
      <c r="D232" s="22">
        <v>86</v>
      </c>
      <c r="E232" s="23">
        <v>150</v>
      </c>
      <c r="F232" s="23">
        <v>86</v>
      </c>
      <c r="G232" s="22">
        <v>1.43333333</v>
      </c>
    </row>
    <row r="233" spans="1:7" ht="15" customHeight="1" x14ac:dyDescent="0.35">
      <c r="A233" s="20">
        <v>45971</v>
      </c>
      <c r="B233" s="22">
        <v>262</v>
      </c>
      <c r="C233" s="23">
        <v>3</v>
      </c>
      <c r="D233" s="22">
        <v>786</v>
      </c>
      <c r="E233" s="23">
        <v>450</v>
      </c>
      <c r="F233" s="23">
        <v>450</v>
      </c>
      <c r="G233" s="22">
        <v>7.5</v>
      </c>
    </row>
    <row r="234" spans="1:7" ht="15" customHeight="1" x14ac:dyDescent="0.35">
      <c r="A234" s="20">
        <v>45972</v>
      </c>
      <c r="B234" s="22">
        <v>168.5</v>
      </c>
      <c r="C234" s="23">
        <v>2</v>
      </c>
      <c r="D234" s="22">
        <v>337</v>
      </c>
      <c r="E234" s="23">
        <v>300</v>
      </c>
      <c r="F234" s="23">
        <v>300</v>
      </c>
      <c r="G234" s="22">
        <v>5</v>
      </c>
    </row>
    <row r="235" spans="1:7" ht="15" customHeight="1" x14ac:dyDescent="0.35">
      <c r="A235" s="20">
        <v>45974</v>
      </c>
      <c r="B235" s="22">
        <v>73.25</v>
      </c>
      <c r="C235" s="23">
        <v>4</v>
      </c>
      <c r="D235" s="22">
        <v>293</v>
      </c>
      <c r="E235" s="23">
        <v>600</v>
      </c>
      <c r="F235" s="23">
        <v>293</v>
      </c>
      <c r="G235" s="22">
        <v>4.8833333300000001</v>
      </c>
    </row>
    <row r="236" spans="1:7" ht="15" customHeight="1" x14ac:dyDescent="0.35">
      <c r="A236" s="20">
        <v>45976</v>
      </c>
      <c r="B236" s="22">
        <v>212</v>
      </c>
      <c r="C236" s="23">
        <v>2</v>
      </c>
      <c r="D236" s="22">
        <v>424</v>
      </c>
      <c r="E236" s="23">
        <v>300</v>
      </c>
      <c r="F236" s="23">
        <v>300</v>
      </c>
      <c r="G236" s="22">
        <v>5</v>
      </c>
    </row>
    <row r="237" spans="1:7" ht="15" customHeight="1" x14ac:dyDescent="0.35">
      <c r="A237" s="20">
        <v>45977</v>
      </c>
      <c r="B237" s="22">
        <v>39</v>
      </c>
      <c r="C237" s="23">
        <v>2</v>
      </c>
      <c r="D237" s="22">
        <v>78</v>
      </c>
      <c r="E237" s="23">
        <v>300</v>
      </c>
      <c r="F237" s="23">
        <v>78</v>
      </c>
      <c r="G237" s="22">
        <v>1.3</v>
      </c>
    </row>
    <row r="238" spans="1:7" ht="15" customHeight="1" x14ac:dyDescent="0.35">
      <c r="A238" s="20">
        <v>45978</v>
      </c>
      <c r="B238" s="22">
        <v>63.5</v>
      </c>
      <c r="C238" s="23">
        <v>2</v>
      </c>
      <c r="D238" s="22">
        <v>127</v>
      </c>
      <c r="E238" s="23">
        <v>300</v>
      </c>
      <c r="F238" s="23">
        <v>127</v>
      </c>
      <c r="G238" s="22">
        <v>2.1166666699999999</v>
      </c>
    </row>
    <row r="239" spans="1:7" ht="15" customHeight="1" x14ac:dyDescent="0.35">
      <c r="A239" s="20">
        <v>45979</v>
      </c>
      <c r="B239" s="22">
        <v>83.5</v>
      </c>
      <c r="C239" s="23">
        <v>2</v>
      </c>
      <c r="D239" s="22">
        <v>167</v>
      </c>
      <c r="E239" s="23">
        <v>300</v>
      </c>
      <c r="F239" s="23">
        <v>167</v>
      </c>
      <c r="G239" s="22">
        <v>2.78333333</v>
      </c>
    </row>
    <row r="240" spans="1:7" ht="15" customHeight="1" x14ac:dyDescent="0.35">
      <c r="A240" s="20">
        <v>45980</v>
      </c>
      <c r="B240" s="22">
        <v>152</v>
      </c>
      <c r="C240" s="23">
        <v>1</v>
      </c>
      <c r="D240" s="22">
        <v>152</v>
      </c>
      <c r="E240" s="23">
        <v>150</v>
      </c>
      <c r="F240" s="22">
        <v>150</v>
      </c>
      <c r="G240" s="22">
        <v>2.5</v>
      </c>
    </row>
    <row r="241" spans="1:7" ht="15" customHeight="1" x14ac:dyDescent="0.35">
      <c r="A241" s="20">
        <v>45982</v>
      </c>
      <c r="B241" s="22">
        <v>184</v>
      </c>
      <c r="C241" s="23">
        <v>1</v>
      </c>
      <c r="D241" s="22">
        <v>184</v>
      </c>
      <c r="E241" s="23">
        <v>150</v>
      </c>
      <c r="F241" s="23">
        <v>150</v>
      </c>
      <c r="G241" s="22">
        <v>2.5</v>
      </c>
    </row>
    <row r="242" spans="1:7" ht="15" customHeight="1" x14ac:dyDescent="0.35">
      <c r="A242" s="20">
        <v>45983</v>
      </c>
      <c r="B242" s="22">
        <v>55.055599999999998</v>
      </c>
      <c r="C242" s="23">
        <v>18</v>
      </c>
      <c r="D242" s="22">
        <v>991.00080000000003</v>
      </c>
      <c r="E242" s="23">
        <v>2700</v>
      </c>
      <c r="F242" s="23">
        <v>991.00080000000003</v>
      </c>
      <c r="G242" s="22">
        <v>16.516680000000001</v>
      </c>
    </row>
    <row r="243" spans="1:7" ht="15" customHeight="1" x14ac:dyDescent="0.35">
      <c r="A243" s="20">
        <v>45985</v>
      </c>
      <c r="B243" s="22">
        <v>10</v>
      </c>
      <c r="C243" s="23">
        <v>1</v>
      </c>
      <c r="D243" s="22">
        <v>10</v>
      </c>
      <c r="E243" s="23">
        <v>150</v>
      </c>
      <c r="F243" s="23">
        <v>10</v>
      </c>
      <c r="G243" s="22">
        <v>0.16666666999999999</v>
      </c>
    </row>
    <row r="244" spans="1:7" ht="15" customHeight="1" x14ac:dyDescent="0.35">
      <c r="A244" s="20">
        <v>45986</v>
      </c>
      <c r="B244" s="22">
        <v>85</v>
      </c>
      <c r="C244" s="23">
        <v>2</v>
      </c>
      <c r="D244" s="22">
        <v>170</v>
      </c>
      <c r="E244" s="23">
        <v>300</v>
      </c>
      <c r="F244" s="23">
        <v>170</v>
      </c>
      <c r="G244" s="22">
        <v>2.8333333299999999</v>
      </c>
    </row>
    <row r="245" spans="1:7" ht="15" customHeight="1" x14ac:dyDescent="0.35">
      <c r="A245" s="20">
        <v>45987</v>
      </c>
      <c r="B245" s="22">
        <v>174</v>
      </c>
      <c r="C245" s="23">
        <v>1</v>
      </c>
      <c r="D245" s="22">
        <v>174</v>
      </c>
      <c r="E245" s="23">
        <v>150</v>
      </c>
      <c r="F245" s="23">
        <v>150</v>
      </c>
      <c r="G245" s="22">
        <v>2.5</v>
      </c>
    </row>
    <row r="246" spans="1:7" ht="15" customHeight="1" x14ac:dyDescent="0.35">
      <c r="A246" s="20">
        <v>45988</v>
      </c>
      <c r="B246" s="22">
        <v>67</v>
      </c>
      <c r="C246" s="23">
        <v>1</v>
      </c>
      <c r="D246" s="22">
        <v>67</v>
      </c>
      <c r="E246" s="23">
        <v>150</v>
      </c>
      <c r="F246" s="23">
        <v>67</v>
      </c>
      <c r="G246" s="22">
        <v>1.1166666700000001</v>
      </c>
    </row>
    <row r="247" spans="1:7" ht="15" customHeight="1" x14ac:dyDescent="0.35">
      <c r="A247" s="20">
        <v>45989</v>
      </c>
      <c r="B247" s="22">
        <v>202</v>
      </c>
      <c r="C247" s="23">
        <v>1</v>
      </c>
      <c r="D247" s="22">
        <v>202</v>
      </c>
      <c r="E247" s="23">
        <v>150</v>
      </c>
      <c r="F247" s="23">
        <v>150</v>
      </c>
      <c r="G247" s="22">
        <v>2.5</v>
      </c>
    </row>
    <row r="248" spans="1:7" ht="15" customHeight="1" x14ac:dyDescent="0.35">
      <c r="A248" s="20">
        <v>45990</v>
      </c>
      <c r="B248" s="22">
        <v>143</v>
      </c>
      <c r="C248" s="23">
        <v>3</v>
      </c>
      <c r="D248" s="22">
        <v>429</v>
      </c>
      <c r="E248" s="23">
        <v>450</v>
      </c>
      <c r="F248" s="23">
        <v>429</v>
      </c>
      <c r="G248" s="22">
        <v>7.15</v>
      </c>
    </row>
    <row r="249" spans="1:7" ht="15" customHeight="1" x14ac:dyDescent="0.35">
      <c r="A249" s="20"/>
      <c r="B249" s="22"/>
      <c r="C249" s="23"/>
      <c r="D249" s="22"/>
      <c r="E249" s="23"/>
      <c r="F249" s="23"/>
      <c r="G249" s="22"/>
    </row>
    <row r="250" spans="1:7" ht="15" customHeight="1" x14ac:dyDescent="0.35">
      <c r="A250" s="20"/>
      <c r="B250" s="22"/>
      <c r="C250" s="23"/>
      <c r="D250" s="22"/>
      <c r="E250" s="23"/>
      <c r="F250" s="23"/>
      <c r="G250" s="22"/>
    </row>
    <row r="251" spans="1:7" ht="15" customHeight="1" x14ac:dyDescent="0.35">
      <c r="A251" s="20"/>
      <c r="B251" s="22"/>
      <c r="C251" s="23"/>
      <c r="D251" s="22"/>
      <c r="E251" s="23"/>
      <c r="F251" s="23"/>
      <c r="G251" s="22"/>
    </row>
    <row r="252" spans="1:7" ht="15" customHeight="1" x14ac:dyDescent="0.35">
      <c r="A252" s="20"/>
      <c r="B252" s="22"/>
      <c r="C252" s="23"/>
      <c r="D252" s="22"/>
      <c r="E252" s="23"/>
      <c r="F252" s="23"/>
      <c r="G252" s="22"/>
    </row>
    <row r="253" spans="1:7" ht="15" customHeight="1" x14ac:dyDescent="0.35">
      <c r="A253" s="20"/>
      <c r="B253" s="22"/>
      <c r="C253" s="23"/>
      <c r="D253" s="22"/>
      <c r="E253" s="23"/>
      <c r="F253" s="23"/>
      <c r="G253" s="22"/>
    </row>
    <row r="254" spans="1:7" ht="15" customHeight="1" x14ac:dyDescent="0.35">
      <c r="A254" s="20"/>
      <c r="B254" s="22"/>
      <c r="C254" s="23"/>
      <c r="D254" s="22"/>
      <c r="E254" s="23"/>
      <c r="F254" s="23"/>
      <c r="G254" s="22"/>
    </row>
    <row r="255" spans="1:7" s="40" customFormat="1" ht="15" customHeight="1" x14ac:dyDescent="0.35">
      <c r="A255" s="20"/>
      <c r="B255" s="22"/>
      <c r="C255" s="23"/>
      <c r="D255" s="22"/>
      <c r="E255" s="23"/>
      <c r="F255" s="23"/>
      <c r="G255" s="22"/>
    </row>
    <row r="256" spans="1:7" ht="15" customHeight="1" x14ac:dyDescent="0.35">
      <c r="A256" s="20"/>
      <c r="B256" s="22"/>
      <c r="C256" s="23"/>
      <c r="D256" s="22"/>
      <c r="E256" s="23"/>
      <c r="F256" s="23"/>
      <c r="G256" s="22"/>
    </row>
    <row r="257" spans="1:7" ht="15" customHeight="1" x14ac:dyDescent="0.35">
      <c r="A257" s="20"/>
      <c r="B257" s="22"/>
      <c r="C257" s="23"/>
      <c r="D257" s="22"/>
      <c r="E257" s="23"/>
      <c r="F257" s="23"/>
      <c r="G257" s="22"/>
    </row>
    <row r="258" spans="1:7" ht="15" customHeight="1" x14ac:dyDescent="0.35">
      <c r="A258" s="72"/>
      <c r="B258" s="74"/>
      <c r="C258" s="74">
        <f>SUBTOTAL(109,Table1024[Call Count])</f>
        <v>54</v>
      </c>
      <c r="D258" s="74"/>
      <c r="E258" s="74"/>
      <c r="F258" s="74"/>
      <c r="G258" s="73">
        <f>SUBTOTAL(109,Table1024[Unit (Minutes)])</f>
        <v>76.983346659999995</v>
      </c>
    </row>
    <row r="259" spans="1:7" ht="15" customHeight="1" x14ac:dyDescent="0.35">
      <c r="A259" s="25"/>
    </row>
    <row r="260" spans="1:7" ht="15" customHeight="1" x14ac:dyDescent="0.35">
      <c r="A260" s="127" t="s">
        <v>15</v>
      </c>
      <c r="B260" s="127"/>
      <c r="C260" s="127"/>
      <c r="D260" s="127"/>
      <c r="E260" s="127"/>
      <c r="F260" s="127"/>
      <c r="G260" s="127"/>
    </row>
    <row r="261" spans="1:7" ht="26" x14ac:dyDescent="0.35">
      <c r="A261" s="19" t="s">
        <v>6</v>
      </c>
      <c r="B261" s="29" t="s">
        <v>8</v>
      </c>
      <c r="C261" s="29" t="s">
        <v>7</v>
      </c>
      <c r="D261" s="29" t="s">
        <v>9</v>
      </c>
      <c r="E261" s="29" t="s">
        <v>20</v>
      </c>
      <c r="F261" s="29" t="s">
        <v>12</v>
      </c>
      <c r="G261" s="29" t="s">
        <v>13</v>
      </c>
    </row>
    <row r="262" spans="1:7" ht="15" customHeight="1" x14ac:dyDescent="0.35">
      <c r="A262" s="20"/>
      <c r="B262" s="22"/>
      <c r="C262" s="23"/>
      <c r="D262" s="22"/>
      <c r="E262" s="23"/>
      <c r="F262" s="22"/>
      <c r="G262" s="22"/>
    </row>
    <row r="263" spans="1:7" ht="15" customHeight="1" x14ac:dyDescent="0.35">
      <c r="A263" s="24"/>
      <c r="B263" s="49"/>
      <c r="C263" s="49"/>
      <c r="D263" s="49"/>
      <c r="E263" s="49"/>
      <c r="F263" s="49"/>
      <c r="G263" s="50">
        <f>SUBTOTAL(109,Table1326[Unit (Minutes)])</f>
        <v>0</v>
      </c>
    </row>
    <row r="264" spans="1:7" ht="15" customHeight="1" x14ac:dyDescent="0.35">
      <c r="A264" s="35"/>
      <c r="B264" s="36"/>
      <c r="C264" s="36"/>
      <c r="D264" s="36"/>
      <c r="E264" s="36"/>
      <c r="F264" s="36"/>
      <c r="G264" s="36"/>
    </row>
    <row r="265" spans="1:7" ht="15" customHeight="1" x14ac:dyDescent="0.35">
      <c r="A265" s="125" t="s">
        <v>18</v>
      </c>
      <c r="B265" s="125"/>
      <c r="C265" s="125"/>
      <c r="D265" s="125"/>
      <c r="E265" s="125"/>
      <c r="F265" s="125"/>
      <c r="G265" s="125"/>
    </row>
    <row r="266" spans="1:7" ht="15" customHeight="1" x14ac:dyDescent="0.35">
      <c r="A266" s="126" t="s">
        <v>11</v>
      </c>
      <c r="B266" s="126"/>
      <c r="C266" s="126"/>
      <c r="D266" s="126"/>
      <c r="E266" s="126"/>
      <c r="F266" s="126"/>
      <c r="G266" s="39">
        <v>180</v>
      </c>
    </row>
    <row r="267" spans="1:7" ht="15" customHeight="1" x14ac:dyDescent="0.35">
      <c r="A267" s="126" t="s">
        <v>14</v>
      </c>
      <c r="B267" s="126"/>
      <c r="C267" s="126"/>
      <c r="D267" s="126"/>
      <c r="E267" s="126"/>
      <c r="F267" s="126"/>
      <c r="G267" s="126"/>
    </row>
    <row r="268" spans="1:7" ht="15" customHeight="1" x14ac:dyDescent="0.35">
      <c r="A268" s="126" t="s">
        <v>89</v>
      </c>
      <c r="B268" s="126"/>
      <c r="C268" s="126"/>
      <c r="D268" s="126"/>
      <c r="E268" s="126"/>
      <c r="F268" s="126"/>
      <c r="G268" s="126"/>
    </row>
    <row r="269" spans="1:7" ht="26" x14ac:dyDescent="0.35">
      <c r="A269" s="31" t="s">
        <v>6</v>
      </c>
      <c r="B269" s="32" t="s">
        <v>8</v>
      </c>
      <c r="C269" s="32" t="s">
        <v>7</v>
      </c>
      <c r="D269" s="32" t="s">
        <v>9</v>
      </c>
      <c r="E269" s="32" t="s">
        <v>21</v>
      </c>
      <c r="F269" s="32" t="s">
        <v>12</v>
      </c>
      <c r="G269" s="32" t="s">
        <v>13</v>
      </c>
    </row>
    <row r="270" spans="1:7" ht="15" customHeight="1" x14ac:dyDescent="0.35">
      <c r="A270" s="20"/>
      <c r="B270" s="22"/>
      <c r="C270" s="23"/>
      <c r="D270" s="22"/>
      <c r="E270" s="23"/>
      <c r="F270" s="22"/>
      <c r="G270" s="22"/>
    </row>
    <row r="271" spans="1:7" ht="15" customHeight="1" x14ac:dyDescent="0.35">
      <c r="A271" s="42"/>
      <c r="B271" s="44"/>
      <c r="C271" s="44"/>
      <c r="D271" s="44"/>
      <c r="E271" s="44"/>
      <c r="F271" s="44"/>
      <c r="G271" s="57">
        <f>SUBTOTAL(109,Table1427[Unit (Minutes)])</f>
        <v>0</v>
      </c>
    </row>
    <row r="272" spans="1:7" ht="15" customHeight="1" x14ac:dyDescent="0.35">
      <c r="A272" s="25"/>
    </row>
    <row r="273" spans="1:7" ht="15" customHeight="1" x14ac:dyDescent="0.35">
      <c r="A273" s="126" t="s">
        <v>90</v>
      </c>
      <c r="B273" s="126"/>
      <c r="C273" s="126"/>
      <c r="D273" s="126"/>
      <c r="E273" s="126"/>
      <c r="F273" s="126"/>
      <c r="G273" s="126"/>
    </row>
    <row r="274" spans="1:7" ht="26" x14ac:dyDescent="0.35">
      <c r="A274" s="31" t="s">
        <v>6</v>
      </c>
      <c r="B274" s="31" t="s">
        <v>8</v>
      </c>
      <c r="C274" s="31" t="s">
        <v>7</v>
      </c>
      <c r="D274" s="31" t="s">
        <v>9</v>
      </c>
      <c r="E274" s="31" t="s">
        <v>21</v>
      </c>
      <c r="F274" s="31" t="s">
        <v>12</v>
      </c>
      <c r="G274" s="31" t="s">
        <v>13</v>
      </c>
    </row>
    <row r="275" spans="1:7" ht="15" customHeight="1" x14ac:dyDescent="0.35">
      <c r="A275" s="20"/>
      <c r="B275" s="22"/>
      <c r="C275" s="23"/>
      <c r="D275" s="22"/>
      <c r="E275" s="23"/>
      <c r="F275" s="22"/>
      <c r="G275" s="22"/>
    </row>
    <row r="276" spans="1:7" ht="15" customHeight="1" x14ac:dyDescent="0.35">
      <c r="A276" s="42"/>
      <c r="B276" s="44"/>
      <c r="C276" s="44"/>
      <c r="D276" s="44"/>
      <c r="E276" s="44"/>
      <c r="F276" s="44"/>
      <c r="G276" s="57">
        <f>SUBTOTAL(109,Table1528[Unit (Minutes)])</f>
        <v>0</v>
      </c>
    </row>
    <row r="277" spans="1:7" ht="15" customHeight="1" x14ac:dyDescent="0.35">
      <c r="A277" s="25"/>
    </row>
    <row r="278" spans="1:7" ht="15" customHeight="1" x14ac:dyDescent="0.35">
      <c r="A278" s="127" t="s">
        <v>15</v>
      </c>
      <c r="B278" s="127"/>
      <c r="C278" s="127"/>
      <c r="D278" s="127"/>
      <c r="E278" s="127"/>
      <c r="F278" s="127"/>
      <c r="G278" s="127"/>
    </row>
    <row r="279" spans="1:7" ht="26" x14ac:dyDescent="0.35">
      <c r="A279" s="31" t="s">
        <v>6</v>
      </c>
      <c r="B279" s="31" t="s">
        <v>8</v>
      </c>
      <c r="C279" s="31" t="s">
        <v>7</v>
      </c>
      <c r="D279" s="31" t="s">
        <v>9</v>
      </c>
      <c r="E279" s="31" t="s">
        <v>21</v>
      </c>
      <c r="F279" s="31" t="s">
        <v>12</v>
      </c>
      <c r="G279" s="31" t="s">
        <v>13</v>
      </c>
    </row>
    <row r="280" spans="1:7" ht="15" customHeight="1" x14ac:dyDescent="0.35">
      <c r="A280" s="20">
        <v>45962</v>
      </c>
      <c r="B280" s="22">
        <v>126.0348</v>
      </c>
      <c r="C280" s="23">
        <v>230</v>
      </c>
      <c r="D280" s="22">
        <v>28988.004000000001</v>
      </c>
      <c r="E280" s="23">
        <v>41400</v>
      </c>
      <c r="F280" s="22">
        <v>28988.004000000001</v>
      </c>
      <c r="G280" s="22">
        <v>483.13339999999999</v>
      </c>
    </row>
    <row r="281" spans="1:7" ht="15" customHeight="1" x14ac:dyDescent="0.35">
      <c r="A281" s="20">
        <v>45963</v>
      </c>
      <c r="B281" s="22">
        <v>104.774</v>
      </c>
      <c r="C281" s="23">
        <v>146</v>
      </c>
      <c r="D281" s="22">
        <v>15297.004000000001</v>
      </c>
      <c r="E281" s="23">
        <v>26280</v>
      </c>
      <c r="F281" s="22">
        <v>15297.004000000001</v>
      </c>
      <c r="G281" s="22">
        <v>254.95006667000001</v>
      </c>
    </row>
    <row r="282" spans="1:7" ht="15" customHeight="1" x14ac:dyDescent="0.35">
      <c r="A282" s="20">
        <v>45964</v>
      </c>
      <c r="B282" s="22">
        <v>134.33009999999999</v>
      </c>
      <c r="C282" s="23">
        <v>209</v>
      </c>
      <c r="D282" s="22">
        <v>28074.990900000001</v>
      </c>
      <c r="E282" s="23">
        <v>37620</v>
      </c>
      <c r="F282" s="22">
        <v>28074.990900000001</v>
      </c>
      <c r="G282" s="22">
        <v>467.916515</v>
      </c>
    </row>
    <row r="283" spans="1:7" ht="15" customHeight="1" x14ac:dyDescent="0.35">
      <c r="A283" s="20">
        <v>45965</v>
      </c>
      <c r="B283" s="22">
        <v>121.7915</v>
      </c>
      <c r="C283" s="23">
        <v>259</v>
      </c>
      <c r="D283" s="22">
        <v>31543.998500000002</v>
      </c>
      <c r="E283" s="23">
        <v>46620</v>
      </c>
      <c r="F283" s="22">
        <v>31543.998500000002</v>
      </c>
      <c r="G283" s="22">
        <v>525.73330833</v>
      </c>
    </row>
    <row r="284" spans="1:7" ht="15" customHeight="1" x14ac:dyDescent="0.35">
      <c r="A284" s="20">
        <v>45966</v>
      </c>
      <c r="B284" s="22">
        <v>109.13760000000001</v>
      </c>
      <c r="C284" s="23">
        <v>218</v>
      </c>
      <c r="D284" s="22">
        <v>23791.996800000001</v>
      </c>
      <c r="E284" s="23">
        <v>39240</v>
      </c>
      <c r="F284" s="22">
        <v>23791.996800000001</v>
      </c>
      <c r="G284" s="22">
        <v>396.53327999999999</v>
      </c>
    </row>
    <row r="285" spans="1:7" ht="15" customHeight="1" x14ac:dyDescent="0.35">
      <c r="A285" s="20">
        <v>45967</v>
      </c>
      <c r="B285" s="22">
        <v>129.37960000000001</v>
      </c>
      <c r="C285" s="23">
        <v>274</v>
      </c>
      <c r="D285" s="22">
        <v>35450.010399999999</v>
      </c>
      <c r="E285" s="23">
        <v>49320</v>
      </c>
      <c r="F285" s="22">
        <v>35450.010399999999</v>
      </c>
      <c r="G285" s="22">
        <v>590.83350667000002</v>
      </c>
    </row>
    <row r="286" spans="1:7" ht="15" customHeight="1" x14ac:dyDescent="0.35">
      <c r="A286" s="20">
        <v>45968</v>
      </c>
      <c r="B286" s="22">
        <v>119.0557</v>
      </c>
      <c r="C286" s="23">
        <v>287</v>
      </c>
      <c r="D286" s="22">
        <v>34168.9859</v>
      </c>
      <c r="E286" s="23">
        <v>51660</v>
      </c>
      <c r="F286" s="22">
        <v>34168.9859</v>
      </c>
      <c r="G286" s="22">
        <v>569.48309832999996</v>
      </c>
    </row>
    <row r="287" spans="1:7" ht="15" customHeight="1" x14ac:dyDescent="0.35">
      <c r="A287" s="20">
        <v>45969</v>
      </c>
      <c r="B287" s="22">
        <v>109.2663</v>
      </c>
      <c r="C287" s="23">
        <v>199</v>
      </c>
      <c r="D287" s="22">
        <v>21743.993699999999</v>
      </c>
      <c r="E287" s="23">
        <v>35820</v>
      </c>
      <c r="F287" s="22">
        <v>21743.993699999999</v>
      </c>
      <c r="G287" s="22">
        <v>362.39989500000001</v>
      </c>
    </row>
    <row r="288" spans="1:7" ht="15" customHeight="1" x14ac:dyDescent="0.35">
      <c r="A288" s="20">
        <v>45970</v>
      </c>
      <c r="B288" s="22">
        <v>89.897999999999996</v>
      </c>
      <c r="C288" s="23">
        <v>147</v>
      </c>
      <c r="D288" s="22">
        <v>13215.005999999999</v>
      </c>
      <c r="E288" s="23">
        <v>26460</v>
      </c>
      <c r="F288" s="22">
        <v>13215.005999999999</v>
      </c>
      <c r="G288" s="22">
        <v>220.2501</v>
      </c>
    </row>
    <row r="289" spans="1:7" ht="15" customHeight="1" x14ac:dyDescent="0.35">
      <c r="A289" s="20">
        <v>45971</v>
      </c>
      <c r="B289" s="22">
        <v>117.863</v>
      </c>
      <c r="C289" s="23">
        <v>219</v>
      </c>
      <c r="D289" s="22">
        <v>25811.996999999999</v>
      </c>
      <c r="E289" s="23">
        <v>39420</v>
      </c>
      <c r="F289" s="22">
        <v>25811.996999999999</v>
      </c>
      <c r="G289" s="22">
        <v>430.19995</v>
      </c>
    </row>
    <row r="290" spans="1:7" s="40" customFormat="1" ht="15" customHeight="1" x14ac:dyDescent="0.35">
      <c r="A290" s="20">
        <v>45972</v>
      </c>
      <c r="B290" s="22">
        <v>118.34269999999999</v>
      </c>
      <c r="C290" s="23">
        <v>213</v>
      </c>
      <c r="D290" s="22">
        <v>25206.9951</v>
      </c>
      <c r="E290" s="23">
        <v>38340</v>
      </c>
      <c r="F290" s="22">
        <v>25206.9951</v>
      </c>
      <c r="G290" s="22">
        <v>420.11658499999999</v>
      </c>
    </row>
    <row r="291" spans="1:7" ht="15" customHeight="1" x14ac:dyDescent="0.35">
      <c r="A291" s="20">
        <v>45973</v>
      </c>
      <c r="B291" s="22">
        <v>117.5591</v>
      </c>
      <c r="C291" s="23">
        <v>220</v>
      </c>
      <c r="D291" s="22">
        <v>25863.002</v>
      </c>
      <c r="E291" s="23">
        <v>39600</v>
      </c>
      <c r="F291" s="22">
        <v>25863.002</v>
      </c>
      <c r="G291" s="22">
        <v>431.05003333000002</v>
      </c>
    </row>
    <row r="292" spans="1:7" ht="15" customHeight="1" x14ac:dyDescent="0.35">
      <c r="A292" s="20">
        <v>45974</v>
      </c>
      <c r="B292" s="22">
        <v>104.0976</v>
      </c>
      <c r="C292" s="23">
        <v>287</v>
      </c>
      <c r="D292" s="22">
        <v>29876.011200000001</v>
      </c>
      <c r="E292" s="23">
        <v>51660</v>
      </c>
      <c r="F292" s="22">
        <v>29876.011200000001</v>
      </c>
      <c r="G292" s="22">
        <v>497.93351999999999</v>
      </c>
    </row>
    <row r="293" spans="1:7" ht="15" customHeight="1" x14ac:dyDescent="0.35">
      <c r="A293" s="20">
        <v>45975</v>
      </c>
      <c r="B293" s="22">
        <v>107.7299</v>
      </c>
      <c r="C293" s="23">
        <v>274</v>
      </c>
      <c r="D293" s="22">
        <v>29517.992600000001</v>
      </c>
      <c r="E293" s="23">
        <v>49320</v>
      </c>
      <c r="F293" s="22">
        <v>29517.992600000001</v>
      </c>
      <c r="G293" s="22">
        <v>491.96654332999998</v>
      </c>
    </row>
    <row r="294" spans="1:7" ht="15" customHeight="1" x14ac:dyDescent="0.35">
      <c r="A294" s="20">
        <v>45976</v>
      </c>
      <c r="B294" s="22">
        <v>107.53449999999999</v>
      </c>
      <c r="C294" s="23">
        <v>275</v>
      </c>
      <c r="D294" s="22">
        <v>29571.987499999999</v>
      </c>
      <c r="E294" s="23">
        <v>49500</v>
      </c>
      <c r="F294" s="22">
        <v>29571.987499999999</v>
      </c>
      <c r="G294" s="22">
        <v>492.86645833</v>
      </c>
    </row>
    <row r="295" spans="1:7" ht="15" customHeight="1" x14ac:dyDescent="0.35">
      <c r="A295" s="20">
        <v>45977</v>
      </c>
      <c r="B295" s="22">
        <v>90.806600000000003</v>
      </c>
      <c r="C295" s="23">
        <v>181</v>
      </c>
      <c r="D295" s="22">
        <v>16435.994600000002</v>
      </c>
      <c r="E295" s="23">
        <v>32580</v>
      </c>
      <c r="F295" s="22">
        <v>16435.994600000002</v>
      </c>
      <c r="G295" s="22">
        <v>273.93324332999998</v>
      </c>
    </row>
    <row r="296" spans="1:7" ht="15" customHeight="1" x14ac:dyDescent="0.35">
      <c r="A296" s="20">
        <v>45978</v>
      </c>
      <c r="B296" s="22">
        <v>118.7073</v>
      </c>
      <c r="C296" s="23">
        <v>246</v>
      </c>
      <c r="D296" s="22">
        <v>29201.995800000001</v>
      </c>
      <c r="E296" s="23">
        <v>44280</v>
      </c>
      <c r="F296" s="22">
        <v>29201.995800000001</v>
      </c>
      <c r="G296" s="22">
        <v>486.69992999999999</v>
      </c>
    </row>
    <row r="297" spans="1:7" ht="15" customHeight="1" x14ac:dyDescent="0.35">
      <c r="A297" s="20">
        <v>45979</v>
      </c>
      <c r="B297" s="22">
        <v>111.7929</v>
      </c>
      <c r="C297" s="23">
        <v>280</v>
      </c>
      <c r="D297" s="22">
        <v>31302.011999999999</v>
      </c>
      <c r="E297" s="23">
        <v>50400</v>
      </c>
      <c r="F297" s="22">
        <v>31302.011999999999</v>
      </c>
      <c r="G297" s="22">
        <v>521.7002</v>
      </c>
    </row>
    <row r="298" spans="1:7" ht="15" customHeight="1" x14ac:dyDescent="0.35">
      <c r="A298" s="20">
        <v>45980</v>
      </c>
      <c r="B298" s="22">
        <v>118.9097</v>
      </c>
      <c r="C298" s="23">
        <v>288</v>
      </c>
      <c r="D298" s="22">
        <v>34245.993600000002</v>
      </c>
      <c r="E298" s="23">
        <v>51840</v>
      </c>
      <c r="F298" s="22">
        <v>34245.993600000002</v>
      </c>
      <c r="G298" s="22">
        <v>570.76656000000003</v>
      </c>
    </row>
    <row r="299" spans="1:7" ht="15" customHeight="1" x14ac:dyDescent="0.35">
      <c r="A299" s="20">
        <v>45981</v>
      </c>
      <c r="B299" s="22">
        <v>112.7158</v>
      </c>
      <c r="C299" s="23">
        <v>292</v>
      </c>
      <c r="D299" s="22">
        <v>32913.013599999998</v>
      </c>
      <c r="E299" s="23">
        <v>52560</v>
      </c>
      <c r="F299" s="22">
        <v>32913.013599999998</v>
      </c>
      <c r="G299" s="22">
        <v>548.55022667000003</v>
      </c>
    </row>
    <row r="300" spans="1:7" ht="15" customHeight="1" x14ac:dyDescent="0.35">
      <c r="A300" s="20">
        <v>45982</v>
      </c>
      <c r="B300" s="22">
        <v>110.7255</v>
      </c>
      <c r="C300" s="23">
        <v>204</v>
      </c>
      <c r="D300" s="22">
        <v>22588.002</v>
      </c>
      <c r="E300" s="23">
        <v>36720</v>
      </c>
      <c r="F300" s="22">
        <v>22588.002</v>
      </c>
      <c r="G300" s="22">
        <v>376.4667</v>
      </c>
    </row>
    <row r="301" spans="1:7" ht="15" customHeight="1" x14ac:dyDescent="0.35">
      <c r="A301" s="20">
        <v>45983</v>
      </c>
      <c r="B301" s="22">
        <v>119.01900000000001</v>
      </c>
      <c r="C301" s="23">
        <v>211</v>
      </c>
      <c r="D301" s="22">
        <v>25113.008999999998</v>
      </c>
      <c r="E301" s="23">
        <v>37980</v>
      </c>
      <c r="F301" s="22">
        <v>25113.008999999998</v>
      </c>
      <c r="G301" s="22">
        <v>418.55014999999997</v>
      </c>
    </row>
    <row r="302" spans="1:7" ht="15" customHeight="1" x14ac:dyDescent="0.35">
      <c r="A302" s="20">
        <v>45984</v>
      </c>
      <c r="B302" s="22">
        <v>104.264</v>
      </c>
      <c r="C302" s="23">
        <v>125</v>
      </c>
      <c r="D302" s="22">
        <v>13033</v>
      </c>
      <c r="E302" s="23">
        <v>22500</v>
      </c>
      <c r="F302" s="22">
        <v>13033</v>
      </c>
      <c r="G302" s="22">
        <v>217.21666667</v>
      </c>
    </row>
    <row r="303" spans="1:7" ht="15" customHeight="1" x14ac:dyDescent="0.35">
      <c r="A303" s="20">
        <v>45985</v>
      </c>
      <c r="B303" s="22">
        <v>116.9958</v>
      </c>
      <c r="C303" s="23">
        <v>236</v>
      </c>
      <c r="D303" s="22">
        <v>27611.0088</v>
      </c>
      <c r="E303" s="23">
        <v>42480</v>
      </c>
      <c r="F303" s="22">
        <v>27611.0088</v>
      </c>
      <c r="G303" s="22">
        <v>460.18347999999997</v>
      </c>
    </row>
    <row r="304" spans="1:7" ht="15" customHeight="1" x14ac:dyDescent="0.35">
      <c r="A304" s="20">
        <v>45986</v>
      </c>
      <c r="B304" s="22">
        <v>108.5809</v>
      </c>
      <c r="C304" s="23">
        <v>241</v>
      </c>
      <c r="D304" s="22">
        <v>26167.996899999998</v>
      </c>
      <c r="E304" s="23">
        <v>43380</v>
      </c>
      <c r="F304" s="22">
        <v>26167.996899999998</v>
      </c>
      <c r="G304" s="22">
        <v>436.13328166999997</v>
      </c>
    </row>
    <row r="305" spans="1:7" ht="15" customHeight="1" x14ac:dyDescent="0.35">
      <c r="A305" s="20">
        <v>45987</v>
      </c>
      <c r="B305" s="22">
        <v>115.2651</v>
      </c>
      <c r="C305" s="23">
        <v>249</v>
      </c>
      <c r="D305" s="22">
        <v>28701.009900000001</v>
      </c>
      <c r="E305" s="23">
        <v>44820</v>
      </c>
      <c r="F305" s="22">
        <v>28701.009900000001</v>
      </c>
      <c r="G305" s="22">
        <v>478.350165</v>
      </c>
    </row>
    <row r="306" spans="1:7" ht="15" customHeight="1" x14ac:dyDescent="0.35">
      <c r="A306" s="20">
        <v>45988</v>
      </c>
      <c r="B306" s="22">
        <v>111.7567</v>
      </c>
      <c r="C306" s="23">
        <v>263</v>
      </c>
      <c r="D306" s="22">
        <v>29392.0121</v>
      </c>
      <c r="E306" s="23">
        <v>47340</v>
      </c>
      <c r="F306" s="22">
        <v>29392.0121</v>
      </c>
      <c r="G306" s="22">
        <v>489.86686832999999</v>
      </c>
    </row>
    <row r="307" spans="1:7" ht="15" customHeight="1" x14ac:dyDescent="0.35">
      <c r="A307" s="20">
        <v>45989</v>
      </c>
      <c r="B307" s="22">
        <v>104.73520000000001</v>
      </c>
      <c r="C307" s="23">
        <v>253</v>
      </c>
      <c r="D307" s="22">
        <v>26498.0056</v>
      </c>
      <c r="E307" s="23">
        <v>45540</v>
      </c>
      <c r="F307" s="22">
        <v>26498.0056</v>
      </c>
      <c r="G307" s="22">
        <v>441.63342667000001</v>
      </c>
    </row>
    <row r="308" spans="1:7" ht="15" customHeight="1" x14ac:dyDescent="0.35">
      <c r="A308" s="20">
        <v>45990</v>
      </c>
      <c r="B308" s="22">
        <v>95.362399999999994</v>
      </c>
      <c r="C308" s="23">
        <v>229</v>
      </c>
      <c r="D308" s="22">
        <v>21837.989600000001</v>
      </c>
      <c r="E308" s="23">
        <v>41220</v>
      </c>
      <c r="F308" s="22">
        <v>21837.989600000001</v>
      </c>
      <c r="G308" s="22">
        <v>363.96649332999999</v>
      </c>
    </row>
    <row r="309" spans="1:7" ht="15" customHeight="1" x14ac:dyDescent="0.35">
      <c r="A309" s="20">
        <v>45991</v>
      </c>
      <c r="B309" s="22">
        <v>96.918899999999994</v>
      </c>
      <c r="C309" s="23">
        <v>111</v>
      </c>
      <c r="D309" s="22">
        <v>10757.9979</v>
      </c>
      <c r="E309" s="23">
        <v>19980</v>
      </c>
      <c r="F309" s="22">
        <v>10757.9979</v>
      </c>
      <c r="G309" s="22">
        <v>179.29996499999999</v>
      </c>
    </row>
    <row r="310" spans="1:7" ht="15" customHeight="1" x14ac:dyDescent="0.35">
      <c r="A310" s="20"/>
      <c r="B310" s="22"/>
      <c r="C310" s="23"/>
      <c r="D310" s="22"/>
      <c r="E310" s="23"/>
      <c r="F310" s="22"/>
      <c r="G310" s="22"/>
    </row>
    <row r="311" spans="1:7" ht="15" customHeight="1" x14ac:dyDescent="0.35">
      <c r="A311" s="72"/>
      <c r="B311" s="74"/>
      <c r="C311" s="74">
        <f>SUBTOTAL(109,Table1629[Call Count])</f>
        <v>6866</v>
      </c>
      <c r="D311" s="74">
        <f>SUBTOTAL(109,Table1629[Total Duration (S)])</f>
        <v>773921.01699999976</v>
      </c>
      <c r="E311" s="74">
        <f>SUBTOTAL(109,Table1629[180 * Call Count (S)])</f>
        <v>1235880</v>
      </c>
      <c r="F311" s="74">
        <f>SUBTOTAL(109,Table1629[Unit (S)])</f>
        <v>773921.01699999976</v>
      </c>
      <c r="G311" s="73">
        <f>SUBTOTAL(109,Table1629[Unit (Minutes)])</f>
        <v>12898.683616659997</v>
      </c>
    </row>
    <row r="312" spans="1:7" ht="15" customHeight="1" x14ac:dyDescent="0.35">
      <c r="A312" s="25"/>
    </row>
    <row r="313" spans="1:7" ht="15" customHeight="1" x14ac:dyDescent="0.35">
      <c r="A313" s="25"/>
    </row>
    <row r="314" spans="1:7" ht="15" customHeight="1" x14ac:dyDescent="0.35">
      <c r="A314" s="146" t="s">
        <v>81</v>
      </c>
      <c r="B314" s="146"/>
      <c r="C314" s="146"/>
      <c r="E314" s="146" t="s">
        <v>85</v>
      </c>
      <c r="F314" s="146"/>
      <c r="G314" s="146"/>
    </row>
    <row r="315" spans="1:7" ht="15" customHeight="1" x14ac:dyDescent="0.35">
      <c r="A315" s="55" t="s">
        <v>82</v>
      </c>
      <c r="B315" s="37" t="s">
        <v>83</v>
      </c>
      <c r="C315" s="37" t="s">
        <v>30</v>
      </c>
      <c r="E315" s="55" t="s">
        <v>82</v>
      </c>
      <c r="F315" s="37" t="s">
        <v>83</v>
      </c>
      <c r="G315" s="37" t="s">
        <v>30</v>
      </c>
    </row>
    <row r="316" spans="1:7" ht="15" customHeight="1" x14ac:dyDescent="0.35">
      <c r="A316" s="55" t="s">
        <v>65</v>
      </c>
      <c r="B316" s="26">
        <v>206462</v>
      </c>
      <c r="C316" s="56">
        <f>B316/B318</f>
        <v>1</v>
      </c>
      <c r="E316" s="55" t="s">
        <v>65</v>
      </c>
      <c r="F316" s="9">
        <v>178009</v>
      </c>
      <c r="G316" s="56">
        <f>F316/F318</f>
        <v>1</v>
      </c>
    </row>
    <row r="317" spans="1:7" ht="15" customHeight="1" x14ac:dyDescent="0.35">
      <c r="A317" s="55" t="s">
        <v>66</v>
      </c>
      <c r="B317" s="9">
        <v>0</v>
      </c>
      <c r="C317" s="56">
        <f>B317/B318</f>
        <v>0</v>
      </c>
      <c r="E317" s="55" t="s">
        <v>66</v>
      </c>
      <c r="F317" s="9">
        <v>0</v>
      </c>
      <c r="G317" s="56">
        <f>F317/F318</f>
        <v>0</v>
      </c>
    </row>
    <row r="318" spans="1:7" ht="15" customHeight="1" x14ac:dyDescent="0.35">
      <c r="A318" s="55" t="s">
        <v>4</v>
      </c>
      <c r="B318" s="9">
        <f>SUM(B316:B317)</f>
        <v>206462</v>
      </c>
      <c r="C318" s="56">
        <f>B318/B318</f>
        <v>1</v>
      </c>
      <c r="E318" s="55" t="s">
        <v>4</v>
      </c>
      <c r="F318" s="9">
        <f>SUM(F316:F317)</f>
        <v>178009</v>
      </c>
      <c r="G318" s="56">
        <f>F318/F318</f>
        <v>1</v>
      </c>
    </row>
    <row r="319" spans="1:7" ht="15" customHeight="1" x14ac:dyDescent="0.35">
      <c r="A319" s="26"/>
    </row>
    <row r="320" spans="1:7" ht="15" customHeight="1" x14ac:dyDescent="0.35">
      <c r="A320" s="25"/>
    </row>
    <row r="321" spans="1:11" ht="15" customHeight="1" x14ac:dyDescent="0.35">
      <c r="A321" s="146" t="s">
        <v>91</v>
      </c>
      <c r="B321" s="146"/>
      <c r="C321" s="146"/>
      <c r="D321" s="146"/>
      <c r="E321" s="146"/>
      <c r="F321" s="146"/>
    </row>
    <row r="322" spans="1:11" ht="23.25" customHeight="1" x14ac:dyDescent="0.35">
      <c r="A322" s="37" t="s">
        <v>67</v>
      </c>
      <c r="B322" s="46" t="s">
        <v>68</v>
      </c>
      <c r="C322" s="5" t="s">
        <v>7</v>
      </c>
      <c r="D322" s="147" t="s">
        <v>79</v>
      </c>
      <c r="E322" s="147"/>
      <c r="F322" s="147"/>
    </row>
    <row r="323" spans="1:11" ht="17.25" customHeight="1" x14ac:dyDescent="0.35">
      <c r="A323" s="37"/>
      <c r="B323" s="79"/>
      <c r="C323" s="91"/>
      <c r="D323" s="81"/>
      <c r="E323" s="5"/>
      <c r="F323" s="5"/>
      <c r="H323" s="48"/>
      <c r="K323" s="48"/>
    </row>
    <row r="324" spans="1:11" ht="17.25" customHeight="1" x14ac:dyDescent="0.35">
      <c r="A324" s="37"/>
      <c r="B324" s="79"/>
      <c r="C324" s="91"/>
      <c r="D324" s="81"/>
      <c r="E324" s="5"/>
      <c r="F324" s="5"/>
      <c r="H324" s="48"/>
      <c r="K324" s="48"/>
    </row>
    <row r="325" spans="1:11" ht="17.25" customHeight="1" x14ac:dyDescent="0.35">
      <c r="A325" s="37"/>
      <c r="B325" s="79"/>
      <c r="C325" s="91"/>
      <c r="D325" s="81"/>
      <c r="E325" s="5"/>
      <c r="F325" s="5"/>
      <c r="H325" s="48"/>
      <c r="K325" s="48"/>
    </row>
    <row r="326" spans="1:11" ht="17.25" customHeight="1" x14ac:dyDescent="0.35">
      <c r="A326" s="37"/>
      <c r="B326" s="79"/>
      <c r="C326" s="91"/>
      <c r="D326" s="81"/>
      <c r="E326" s="5"/>
      <c r="F326" s="5"/>
      <c r="H326" s="48"/>
      <c r="K326" s="48"/>
    </row>
    <row r="327" spans="1:11" ht="17.25" customHeight="1" x14ac:dyDescent="0.35">
      <c r="A327" s="37"/>
      <c r="B327" s="79"/>
      <c r="C327" s="91"/>
      <c r="D327" s="81"/>
      <c r="E327" s="5"/>
      <c r="F327" s="5"/>
      <c r="H327" s="48"/>
      <c r="K327" s="48"/>
    </row>
    <row r="328" spans="1:11" ht="17.25" customHeight="1" x14ac:dyDescent="0.35">
      <c r="A328" s="37"/>
      <c r="B328" s="79"/>
      <c r="C328" s="91"/>
      <c r="D328" s="81"/>
      <c r="E328" s="5"/>
      <c r="F328" s="5"/>
      <c r="H328" s="48"/>
      <c r="K328" s="48"/>
    </row>
    <row r="329" spans="1:11" ht="17.25" customHeight="1" x14ac:dyDescent="0.35">
      <c r="A329" s="37"/>
      <c r="B329" s="79"/>
      <c r="C329" s="91"/>
      <c r="D329" s="81"/>
      <c r="E329" s="5"/>
      <c r="F329" s="5"/>
      <c r="H329" s="48"/>
      <c r="K329" s="48"/>
    </row>
    <row r="330" spans="1:11" ht="17.25" customHeight="1" x14ac:dyDescent="0.35">
      <c r="A330" s="37"/>
      <c r="B330" s="79"/>
      <c r="C330" s="91"/>
      <c r="D330" s="81"/>
      <c r="E330" s="5"/>
      <c r="F330" s="5"/>
      <c r="H330" s="48"/>
      <c r="K330" s="48"/>
    </row>
    <row r="331" spans="1:11" ht="17.25" customHeight="1" x14ac:dyDescent="0.35">
      <c r="A331" s="37"/>
      <c r="B331" s="79"/>
      <c r="C331" s="91"/>
      <c r="D331" s="81"/>
      <c r="E331" s="5"/>
      <c r="F331" s="5"/>
      <c r="H331" s="48"/>
      <c r="K331" s="48"/>
    </row>
    <row r="332" spans="1:11" ht="17.25" customHeight="1" x14ac:dyDescent="0.35">
      <c r="A332" s="37"/>
      <c r="B332" s="79"/>
      <c r="C332" s="91"/>
      <c r="D332" s="81"/>
      <c r="E332" s="5"/>
      <c r="F332" s="5"/>
      <c r="H332" s="48"/>
      <c r="K332" s="48"/>
    </row>
    <row r="333" spans="1:11" ht="17.25" customHeight="1" x14ac:dyDescent="0.35">
      <c r="A333" s="37"/>
      <c r="B333" s="79"/>
      <c r="C333" s="91"/>
      <c r="D333" s="81"/>
      <c r="E333" s="5"/>
      <c r="F333" s="5"/>
      <c r="H333" s="48"/>
      <c r="K333" s="48"/>
    </row>
    <row r="334" spans="1:11" ht="17.25" customHeight="1" x14ac:dyDescent="0.35">
      <c r="A334" s="37"/>
      <c r="B334" s="79"/>
      <c r="C334" s="91"/>
      <c r="D334" s="81"/>
      <c r="E334" s="5"/>
      <c r="F334" s="5"/>
      <c r="H334" s="48"/>
      <c r="K334" s="48"/>
    </row>
    <row r="335" spans="1:11" ht="17.25" customHeight="1" x14ac:dyDescent="0.35">
      <c r="A335" s="37"/>
      <c r="B335" s="79"/>
      <c r="C335" s="91"/>
      <c r="D335" s="81"/>
      <c r="E335" s="5"/>
      <c r="F335" s="5"/>
      <c r="H335" s="48"/>
      <c r="K335" s="48"/>
    </row>
    <row r="336" spans="1:11" ht="17.25" customHeight="1" x14ac:dyDescent="0.35">
      <c r="A336" s="37"/>
      <c r="B336" s="79"/>
      <c r="C336" s="91"/>
      <c r="D336" s="81"/>
      <c r="E336" s="5"/>
      <c r="F336" s="5"/>
      <c r="H336" s="48"/>
      <c r="K336" s="48"/>
    </row>
    <row r="337" spans="1:7" ht="15" customHeight="1" x14ac:dyDescent="0.35">
      <c r="A337" s="37"/>
      <c r="B337" s="80"/>
      <c r="C337" s="81"/>
      <c r="D337" s="81"/>
      <c r="E337" s="5"/>
      <c r="F337" s="5"/>
    </row>
    <row r="338" spans="1:7" ht="15" customHeight="1" x14ac:dyDescent="0.35">
      <c r="A338" s="37"/>
      <c r="B338" s="67"/>
      <c r="C338" s="9"/>
      <c r="D338" s="154">
        <f>D374*1.3</f>
        <v>21414.9</v>
      </c>
      <c r="E338" s="154"/>
      <c r="F338" s="154"/>
    </row>
    <row r="339" spans="1:7" ht="15" customHeight="1" x14ac:dyDescent="0.35">
      <c r="B339" s="48"/>
      <c r="D339" s="68"/>
      <c r="E339" s="68"/>
      <c r="F339" s="68"/>
    </row>
    <row r="340" spans="1:7" ht="15" customHeight="1" x14ac:dyDescent="0.35">
      <c r="A340" s="47"/>
      <c r="B340" s="48"/>
      <c r="D340" s="38"/>
      <c r="E340" s="38"/>
      <c r="F340" s="38"/>
    </row>
    <row r="341" spans="1:7" ht="15" customHeight="1" x14ac:dyDescent="0.35">
      <c r="A341" s="148" t="s">
        <v>69</v>
      </c>
      <c r="B341" s="149"/>
      <c r="C341" s="149"/>
      <c r="D341" s="150"/>
      <c r="F341" s="148" t="s">
        <v>70</v>
      </c>
      <c r="G341" s="150"/>
    </row>
    <row r="342" spans="1:7" s="40" customFormat="1" ht="15" customHeight="1" x14ac:dyDescent="0.35">
      <c r="A342" s="37" t="s">
        <v>6</v>
      </c>
      <c r="B342" s="37" t="s">
        <v>7</v>
      </c>
      <c r="C342" s="37" t="s">
        <v>71</v>
      </c>
      <c r="D342" s="37" t="s">
        <v>72</v>
      </c>
      <c r="E342" s="26"/>
      <c r="F342" s="37" t="s">
        <v>6</v>
      </c>
      <c r="G342" s="37" t="s">
        <v>7</v>
      </c>
    </row>
    <row r="343" spans="1:7" s="40" customFormat="1" ht="15" customHeight="1" x14ac:dyDescent="0.35">
      <c r="A343" s="51">
        <v>45931</v>
      </c>
      <c r="B343" s="52">
        <v>14691</v>
      </c>
      <c r="C343" s="53" t="s">
        <v>66</v>
      </c>
      <c r="D343" s="53" t="s">
        <v>65</v>
      </c>
      <c r="E343" s="26"/>
      <c r="F343" s="20">
        <v>45962</v>
      </c>
      <c r="G343" s="9">
        <v>15401</v>
      </c>
    </row>
    <row r="344" spans="1:7" s="40" customFormat="1" ht="15" customHeight="1" x14ac:dyDescent="0.35">
      <c r="A344" s="51">
        <v>45932</v>
      </c>
      <c r="B344" s="52">
        <v>15169</v>
      </c>
      <c r="C344" s="53" t="s">
        <v>66</v>
      </c>
      <c r="D344" s="53" t="s">
        <v>65</v>
      </c>
      <c r="E344" s="26"/>
      <c r="F344" s="20">
        <v>45963</v>
      </c>
      <c r="G344" s="9">
        <v>12565</v>
      </c>
    </row>
    <row r="345" spans="1:7" ht="15" customHeight="1" x14ac:dyDescent="0.35">
      <c r="A345" s="51">
        <v>45933</v>
      </c>
      <c r="B345" s="52">
        <v>17039</v>
      </c>
      <c r="C345" s="53" t="s">
        <v>66</v>
      </c>
      <c r="D345" s="53" t="s">
        <v>66</v>
      </c>
      <c r="F345" s="20">
        <v>45964</v>
      </c>
      <c r="G345" s="9">
        <v>14848</v>
      </c>
    </row>
    <row r="346" spans="1:7" ht="15" customHeight="1" x14ac:dyDescent="0.35">
      <c r="A346" s="51">
        <v>45934</v>
      </c>
      <c r="B346" s="52">
        <v>17121</v>
      </c>
      <c r="C346" s="53" t="s">
        <v>66</v>
      </c>
      <c r="D346" s="53" t="s">
        <v>66</v>
      </c>
      <c r="F346" s="20">
        <v>45965</v>
      </c>
      <c r="G346" s="9">
        <v>15542</v>
      </c>
    </row>
    <row r="347" spans="1:7" ht="15" customHeight="1" x14ac:dyDescent="0.35">
      <c r="A347" s="51">
        <v>45935</v>
      </c>
      <c r="B347" s="52">
        <v>15114</v>
      </c>
      <c r="C347" s="53" t="s">
        <v>65</v>
      </c>
      <c r="D347" s="53" t="s">
        <v>66</v>
      </c>
      <c r="F347" s="20">
        <v>45966</v>
      </c>
      <c r="G347" s="9">
        <v>14275</v>
      </c>
    </row>
    <row r="348" spans="1:7" ht="15" customHeight="1" x14ac:dyDescent="0.35">
      <c r="A348" s="51">
        <v>45936</v>
      </c>
      <c r="B348" s="52">
        <v>18023</v>
      </c>
      <c r="C348" s="53" t="s">
        <v>66</v>
      </c>
      <c r="D348" s="53" t="s">
        <v>66</v>
      </c>
      <c r="F348" s="20">
        <v>45967</v>
      </c>
      <c r="G348" s="9">
        <v>15434</v>
      </c>
    </row>
    <row r="349" spans="1:7" ht="15" customHeight="1" x14ac:dyDescent="0.35">
      <c r="A349" s="51">
        <v>45937</v>
      </c>
      <c r="B349" s="52">
        <v>17973</v>
      </c>
      <c r="C349" s="53" t="s">
        <v>66</v>
      </c>
      <c r="D349" s="53" t="s">
        <v>66</v>
      </c>
      <c r="F349" s="20">
        <v>45968</v>
      </c>
      <c r="G349" s="9">
        <v>15615</v>
      </c>
    </row>
    <row r="350" spans="1:7" ht="15" customHeight="1" x14ac:dyDescent="0.35">
      <c r="A350" s="51">
        <v>45938</v>
      </c>
      <c r="B350" s="52">
        <v>17706</v>
      </c>
      <c r="C350" s="53" t="s">
        <v>66</v>
      </c>
      <c r="D350" s="53" t="s">
        <v>66</v>
      </c>
      <c r="F350" s="20">
        <v>45969</v>
      </c>
      <c r="G350" s="9">
        <v>14379</v>
      </c>
    </row>
    <row r="351" spans="1:7" ht="15" customHeight="1" x14ac:dyDescent="0.35">
      <c r="A351" s="51">
        <v>45939</v>
      </c>
      <c r="B351" s="52">
        <v>16751</v>
      </c>
      <c r="C351" s="53" t="s">
        <v>66</v>
      </c>
      <c r="D351" s="53" t="s">
        <v>66</v>
      </c>
      <c r="F351" s="20">
        <v>45970</v>
      </c>
      <c r="G351" s="9">
        <v>12369</v>
      </c>
    </row>
    <row r="352" spans="1:7" ht="15" customHeight="1" x14ac:dyDescent="0.35">
      <c r="A352" s="51">
        <v>45940</v>
      </c>
      <c r="B352" s="52">
        <v>14957</v>
      </c>
      <c r="C352" s="53" t="s">
        <v>66</v>
      </c>
      <c r="D352" s="53" t="s">
        <v>66</v>
      </c>
      <c r="F352" s="20">
        <v>45971</v>
      </c>
      <c r="G352" s="9">
        <v>15641</v>
      </c>
    </row>
    <row r="353" spans="1:7" ht="15" customHeight="1" x14ac:dyDescent="0.35">
      <c r="A353" s="51">
        <v>45941</v>
      </c>
      <c r="B353" s="52">
        <v>15289</v>
      </c>
      <c r="C353" s="53" t="s">
        <v>66</v>
      </c>
      <c r="D353" s="53" t="s">
        <v>66</v>
      </c>
      <c r="F353" s="20">
        <v>45972</v>
      </c>
      <c r="G353" s="9">
        <v>14962</v>
      </c>
    </row>
    <row r="354" spans="1:7" ht="15" customHeight="1" x14ac:dyDescent="0.35">
      <c r="A354" s="51">
        <v>45942</v>
      </c>
      <c r="B354" s="52">
        <v>13363</v>
      </c>
      <c r="C354" s="53" t="s">
        <v>65</v>
      </c>
      <c r="D354" s="53" t="s">
        <v>66</v>
      </c>
      <c r="F354" s="20">
        <v>45973</v>
      </c>
      <c r="G354" s="9">
        <v>14650</v>
      </c>
    </row>
    <row r="355" spans="1:7" ht="15" customHeight="1" x14ac:dyDescent="0.35">
      <c r="A355" s="51">
        <v>45943</v>
      </c>
      <c r="B355" s="52">
        <v>16840</v>
      </c>
      <c r="C355" s="53" t="s">
        <v>66</v>
      </c>
      <c r="D355" s="53" t="s">
        <v>66</v>
      </c>
      <c r="F355" s="20">
        <v>45974</v>
      </c>
      <c r="G355" s="9">
        <v>15857</v>
      </c>
    </row>
    <row r="356" spans="1:7" ht="15" customHeight="1" x14ac:dyDescent="0.35">
      <c r="A356" s="51">
        <v>45944</v>
      </c>
      <c r="B356" s="52">
        <v>16351</v>
      </c>
      <c r="C356" s="53" t="s">
        <v>66</v>
      </c>
      <c r="D356" s="53" t="s">
        <v>66</v>
      </c>
      <c r="F356" s="20">
        <v>45975</v>
      </c>
      <c r="G356" s="9">
        <v>15555</v>
      </c>
    </row>
    <row r="357" spans="1:7" ht="15" customHeight="1" x14ac:dyDescent="0.35">
      <c r="A357" s="51">
        <v>45945</v>
      </c>
      <c r="B357" s="52">
        <v>16867</v>
      </c>
      <c r="C357" s="53" t="s">
        <v>66</v>
      </c>
      <c r="D357" s="53" t="s">
        <v>66</v>
      </c>
      <c r="F357" s="20">
        <v>45976</v>
      </c>
      <c r="G357" s="9">
        <v>15444</v>
      </c>
    </row>
    <row r="358" spans="1:7" ht="15" customHeight="1" x14ac:dyDescent="0.35">
      <c r="A358" s="51">
        <v>45946</v>
      </c>
      <c r="B358" s="52">
        <v>17466</v>
      </c>
      <c r="C358" s="53" t="s">
        <v>66</v>
      </c>
      <c r="D358" s="53" t="s">
        <v>66</v>
      </c>
      <c r="F358" s="20">
        <v>45977</v>
      </c>
      <c r="G358" s="9">
        <v>12482</v>
      </c>
    </row>
    <row r="359" spans="1:7" ht="15" customHeight="1" x14ac:dyDescent="0.35">
      <c r="A359" s="51">
        <v>45947</v>
      </c>
      <c r="B359" s="52">
        <v>16298</v>
      </c>
      <c r="C359" s="53" t="s">
        <v>66</v>
      </c>
      <c r="D359" s="53" t="s">
        <v>66</v>
      </c>
      <c r="F359" s="20">
        <v>45978</v>
      </c>
      <c r="G359" s="9">
        <v>14721</v>
      </c>
    </row>
    <row r="360" spans="1:7" ht="15" customHeight="1" x14ac:dyDescent="0.35">
      <c r="A360" s="51">
        <v>45948</v>
      </c>
      <c r="B360" s="52">
        <v>16834</v>
      </c>
      <c r="C360" s="53" t="s">
        <v>66</v>
      </c>
      <c r="D360" s="53" t="s">
        <v>66</v>
      </c>
      <c r="F360" s="20">
        <v>45979</v>
      </c>
      <c r="G360" s="9">
        <v>14952</v>
      </c>
    </row>
    <row r="361" spans="1:7" ht="15" customHeight="1" x14ac:dyDescent="0.35">
      <c r="A361" s="51">
        <v>45949</v>
      </c>
      <c r="B361" s="52">
        <v>13196</v>
      </c>
      <c r="C361" s="53" t="s">
        <v>65</v>
      </c>
      <c r="D361" s="53" t="s">
        <v>66</v>
      </c>
      <c r="F361" s="20">
        <v>45980</v>
      </c>
      <c r="G361" s="9">
        <v>16119</v>
      </c>
    </row>
    <row r="362" spans="1:7" ht="15" customHeight="1" x14ac:dyDescent="0.35">
      <c r="A362" s="51">
        <v>45950</v>
      </c>
      <c r="B362" s="52">
        <v>12258</v>
      </c>
      <c r="C362" s="53" t="s">
        <v>66</v>
      </c>
      <c r="D362" s="53" t="s">
        <v>130</v>
      </c>
      <c r="F362" s="20">
        <v>45981</v>
      </c>
      <c r="G362" s="9">
        <v>15221</v>
      </c>
    </row>
    <row r="363" spans="1:7" ht="15" customHeight="1" x14ac:dyDescent="0.35">
      <c r="A363" s="51">
        <v>45951</v>
      </c>
      <c r="B363" s="52">
        <v>15666</v>
      </c>
      <c r="C363" s="53" t="s">
        <v>66</v>
      </c>
      <c r="D363" s="53" t="s">
        <v>66</v>
      </c>
      <c r="F363" s="20">
        <v>45982</v>
      </c>
      <c r="G363" s="9">
        <v>14922</v>
      </c>
    </row>
    <row r="364" spans="1:7" ht="15" customHeight="1" x14ac:dyDescent="0.35">
      <c r="A364" s="51">
        <v>45952</v>
      </c>
      <c r="B364" s="52">
        <v>16923</v>
      </c>
      <c r="C364" s="53" t="s">
        <v>66</v>
      </c>
      <c r="D364" s="53" t="s">
        <v>66</v>
      </c>
      <c r="F364" s="20">
        <v>45983</v>
      </c>
      <c r="G364" s="9">
        <v>15271</v>
      </c>
    </row>
    <row r="365" spans="1:7" ht="15" customHeight="1" x14ac:dyDescent="0.35">
      <c r="A365" s="51">
        <v>45953</v>
      </c>
      <c r="B365" s="52">
        <v>16914</v>
      </c>
      <c r="C365" s="53" t="s">
        <v>66</v>
      </c>
      <c r="D365" s="53" t="s">
        <v>66</v>
      </c>
      <c r="F365" s="20">
        <v>45984</v>
      </c>
      <c r="G365" s="9">
        <v>12230</v>
      </c>
    </row>
    <row r="366" spans="1:7" ht="15" customHeight="1" x14ac:dyDescent="0.35">
      <c r="A366" s="51">
        <v>45954</v>
      </c>
      <c r="B366" s="52">
        <v>16476</v>
      </c>
      <c r="C366" s="53" t="s">
        <v>66</v>
      </c>
      <c r="D366" s="53" t="s">
        <v>66</v>
      </c>
      <c r="F366" s="20">
        <v>45985</v>
      </c>
      <c r="G366" s="9">
        <v>16793</v>
      </c>
    </row>
    <row r="367" spans="1:7" ht="15" customHeight="1" x14ac:dyDescent="0.35">
      <c r="A367" s="51">
        <v>45955</v>
      </c>
      <c r="B367" s="52">
        <v>16634</v>
      </c>
      <c r="C367" s="53" t="s">
        <v>66</v>
      </c>
      <c r="D367" s="53" t="s">
        <v>66</v>
      </c>
      <c r="F367" s="20">
        <v>45986</v>
      </c>
      <c r="G367" s="9">
        <v>18178</v>
      </c>
    </row>
    <row r="368" spans="1:7" ht="15" customHeight="1" x14ac:dyDescent="0.35">
      <c r="A368" s="51">
        <v>45956</v>
      </c>
      <c r="B368" s="52">
        <v>13564</v>
      </c>
      <c r="C368" s="53" t="s">
        <v>65</v>
      </c>
      <c r="D368" s="53" t="s">
        <v>66</v>
      </c>
      <c r="F368" s="20">
        <v>45987</v>
      </c>
      <c r="G368" s="9">
        <v>17220</v>
      </c>
    </row>
    <row r="369" spans="1:11" ht="15" customHeight="1" x14ac:dyDescent="0.35">
      <c r="A369" s="51">
        <v>45957</v>
      </c>
      <c r="B369" s="52">
        <v>15776</v>
      </c>
      <c r="C369" s="53" t="s">
        <v>66</v>
      </c>
      <c r="D369" s="53" t="s">
        <v>66</v>
      </c>
      <c r="F369" s="20">
        <v>45988</v>
      </c>
      <c r="G369" s="9">
        <v>15352</v>
      </c>
    </row>
    <row r="370" spans="1:11" ht="15" customHeight="1" x14ac:dyDescent="0.35">
      <c r="A370" s="51">
        <v>45958</v>
      </c>
      <c r="B370" s="52">
        <v>16375</v>
      </c>
      <c r="C370" s="53" t="s">
        <v>66</v>
      </c>
      <c r="D370" s="53" t="s">
        <v>66</v>
      </c>
      <c r="F370" s="20">
        <v>45989</v>
      </c>
      <c r="G370" s="9">
        <v>14462</v>
      </c>
    </row>
    <row r="371" spans="1:11" ht="15" customHeight="1" x14ac:dyDescent="0.35">
      <c r="A371" s="51">
        <v>45959</v>
      </c>
      <c r="B371" s="52">
        <v>15844</v>
      </c>
      <c r="C371" s="53" t="s">
        <v>66</v>
      </c>
      <c r="D371" s="53" t="s">
        <v>66</v>
      </c>
      <c r="F371" s="20">
        <v>45990</v>
      </c>
      <c r="G371" s="9">
        <v>15474</v>
      </c>
    </row>
    <row r="372" spans="1:11" ht="15" customHeight="1" x14ac:dyDescent="0.35">
      <c r="A372" s="51">
        <v>45960</v>
      </c>
      <c r="B372" s="52">
        <v>14538</v>
      </c>
      <c r="C372" s="53" t="s">
        <v>66</v>
      </c>
      <c r="D372" s="53" t="s">
        <v>66</v>
      </c>
      <c r="F372" s="20">
        <v>45991</v>
      </c>
      <c r="G372" s="9">
        <v>11641</v>
      </c>
    </row>
    <row r="373" spans="1:11" ht="15" customHeight="1" x14ac:dyDescent="0.35">
      <c r="A373" s="51">
        <v>45961</v>
      </c>
      <c r="B373" s="52">
        <v>14692</v>
      </c>
      <c r="C373" s="53" t="s">
        <v>66</v>
      </c>
      <c r="D373" s="53" t="s">
        <v>66</v>
      </c>
      <c r="F373" s="20"/>
      <c r="G373" s="9"/>
    </row>
    <row r="374" spans="1:11" ht="24" customHeight="1" x14ac:dyDescent="0.35">
      <c r="A374" s="151" t="s">
        <v>80</v>
      </c>
      <c r="B374" s="152"/>
      <c r="C374" s="153"/>
      <c r="D374" s="53">
        <v>16473</v>
      </c>
      <c r="F374" s="37" t="s">
        <v>73</v>
      </c>
      <c r="G374" s="54">
        <f>AVERAGE(G343:G373)</f>
        <v>14919.166666666666</v>
      </c>
    </row>
    <row r="375" spans="1:11" ht="15" customHeight="1" x14ac:dyDescent="0.35">
      <c r="A375" s="47"/>
      <c r="B375" s="48"/>
      <c r="D375" s="38"/>
      <c r="E375" s="38"/>
      <c r="F375" s="38"/>
    </row>
    <row r="377" spans="1:11" ht="15" customHeight="1" x14ac:dyDescent="0.35">
      <c r="A377" s="133" t="s">
        <v>92</v>
      </c>
      <c r="B377" s="133"/>
      <c r="C377" s="133"/>
      <c r="D377" s="133"/>
      <c r="E377" s="133"/>
      <c r="F377" s="133"/>
    </row>
    <row r="378" spans="1:11" ht="15" customHeight="1" x14ac:dyDescent="0.35">
      <c r="A378" s="33">
        <v>1</v>
      </c>
      <c r="B378" s="128" t="s">
        <v>32</v>
      </c>
      <c r="C378" s="128"/>
      <c r="D378" s="128"/>
      <c r="E378" s="128"/>
      <c r="F378" s="37">
        <v>34350</v>
      </c>
      <c r="I378"/>
      <c r="J378"/>
      <c r="K378" s="78"/>
    </row>
    <row r="379" spans="1:11" s="40" customFormat="1" ht="15" customHeight="1" x14ac:dyDescent="0.35">
      <c r="A379" s="33">
        <v>2</v>
      </c>
      <c r="B379" s="128" t="s">
        <v>33</v>
      </c>
      <c r="C379" s="128"/>
      <c r="D379" s="128"/>
      <c r="E379" s="128"/>
      <c r="F379" s="37">
        <v>33110</v>
      </c>
      <c r="G379" s="26"/>
    </row>
    <row r="380" spans="1:11" ht="15" customHeight="1" x14ac:dyDescent="0.35">
      <c r="A380" s="33">
        <v>3</v>
      </c>
      <c r="B380" s="129" t="s">
        <v>84</v>
      </c>
      <c r="C380" s="130"/>
      <c r="D380" s="130"/>
      <c r="E380" s="131"/>
      <c r="F380" s="155">
        <f>F379/F378</f>
        <v>0.96390101892285296</v>
      </c>
    </row>
    <row r="382" spans="1:11" ht="15" customHeight="1" x14ac:dyDescent="0.35">
      <c r="A382" s="133" t="s">
        <v>93</v>
      </c>
      <c r="B382" s="133"/>
      <c r="C382" s="133"/>
      <c r="D382" s="133"/>
      <c r="E382" s="133"/>
      <c r="F382" s="133"/>
    </row>
    <row r="383" spans="1:11" ht="15" customHeight="1" x14ac:dyDescent="0.35">
      <c r="A383" s="34" t="s">
        <v>28</v>
      </c>
      <c r="B383" s="137" t="s">
        <v>29</v>
      </c>
      <c r="C383" s="138"/>
      <c r="D383" s="139"/>
      <c r="E383" s="34" t="s">
        <v>34</v>
      </c>
      <c r="F383" s="34" t="s">
        <v>30</v>
      </c>
    </row>
    <row r="384" spans="1:11" ht="15" customHeight="1" x14ac:dyDescent="0.35">
      <c r="A384" s="5">
        <v>1</v>
      </c>
      <c r="B384" s="140">
        <v>13931</v>
      </c>
      <c r="C384" s="141"/>
      <c r="D384" s="142"/>
      <c r="E384" s="41">
        <v>13872</v>
      </c>
      <c r="F384" s="157">
        <f>E384/B384</f>
        <v>0.99576484100208174</v>
      </c>
    </row>
    <row r="385" spans="1:6" ht="15" customHeight="1" x14ac:dyDescent="0.35">
      <c r="A385" s="5">
        <v>2</v>
      </c>
      <c r="B385" s="143">
        <v>679</v>
      </c>
      <c r="C385" s="144"/>
      <c r="D385" s="145"/>
      <c r="E385" s="41">
        <v>679</v>
      </c>
      <c r="F385" s="157">
        <f>E385/B385</f>
        <v>1</v>
      </c>
    </row>
    <row r="386" spans="1:6" ht="15" customHeight="1" x14ac:dyDescent="0.35">
      <c r="A386" s="5">
        <v>3</v>
      </c>
      <c r="B386" s="140">
        <v>513</v>
      </c>
      <c r="C386" s="141"/>
      <c r="D386" s="142"/>
      <c r="E386" s="41">
        <v>508</v>
      </c>
      <c r="F386" s="157">
        <f t="shared" ref="F386" si="3">E386/B386</f>
        <v>0.99025341130604283</v>
      </c>
    </row>
    <row r="388" spans="1:6" ht="15" customHeight="1" x14ac:dyDescent="0.35">
      <c r="A388" s="133" t="s">
        <v>95</v>
      </c>
      <c r="B388" s="133"/>
      <c r="C388" s="133"/>
      <c r="D388" s="133"/>
      <c r="E388" s="133"/>
      <c r="F388" s="133"/>
    </row>
    <row r="389" spans="1:6" ht="15" customHeight="1" x14ac:dyDescent="0.35">
      <c r="A389" s="37">
        <v>1</v>
      </c>
      <c r="B389" s="129" t="s">
        <v>48</v>
      </c>
      <c r="C389" s="130"/>
      <c r="D389" s="130"/>
      <c r="E389" s="131"/>
      <c r="F389" s="156">
        <v>221020</v>
      </c>
    </row>
    <row r="390" spans="1:6" ht="15" customHeight="1" x14ac:dyDescent="0.35">
      <c r="A390" s="37">
        <v>2</v>
      </c>
      <c r="B390" s="134" t="s">
        <v>49</v>
      </c>
      <c r="C390" s="135"/>
      <c r="D390" s="135"/>
      <c r="E390" s="136"/>
      <c r="F390" s="156">
        <v>427653</v>
      </c>
    </row>
    <row r="391" spans="1:6" ht="15" customHeight="1" x14ac:dyDescent="0.35">
      <c r="A391" s="37">
        <v>3</v>
      </c>
      <c r="B391" s="129" t="s">
        <v>50</v>
      </c>
      <c r="C391" s="130"/>
      <c r="D391" s="130"/>
      <c r="E391" s="131"/>
      <c r="F391" s="157">
        <f>F389/F390</f>
        <v>0.51682088048020236</v>
      </c>
    </row>
    <row r="393" spans="1:6" ht="15" customHeight="1" x14ac:dyDescent="0.35">
      <c r="A393" s="133" t="s">
        <v>94</v>
      </c>
      <c r="B393" s="133"/>
      <c r="C393" s="133"/>
      <c r="D393" s="133"/>
      <c r="E393" s="133"/>
      <c r="F393" s="133"/>
    </row>
    <row r="394" spans="1:6" ht="15" customHeight="1" x14ac:dyDescent="0.35">
      <c r="A394" s="37">
        <v>1</v>
      </c>
      <c r="B394" s="128" t="s">
        <v>51</v>
      </c>
      <c r="C394" s="128"/>
      <c r="D394" s="128"/>
      <c r="E394" s="128"/>
      <c r="F394" s="156">
        <v>2152</v>
      </c>
    </row>
    <row r="395" spans="1:6" ht="15" customHeight="1" x14ac:dyDescent="0.35">
      <c r="A395" s="37">
        <v>2</v>
      </c>
      <c r="B395" s="132" t="s">
        <v>49</v>
      </c>
      <c r="C395" s="132"/>
      <c r="D395" s="132"/>
      <c r="E395" s="132"/>
      <c r="F395" s="156">
        <v>213264</v>
      </c>
    </row>
    <row r="396" spans="1:6" ht="15" customHeight="1" x14ac:dyDescent="0.35">
      <c r="A396" s="37">
        <v>3</v>
      </c>
      <c r="B396" s="128" t="s">
        <v>52</v>
      </c>
      <c r="C396" s="128"/>
      <c r="D396" s="128"/>
      <c r="E396" s="128"/>
      <c r="F396" s="157">
        <f>F394/F395</f>
        <v>1.0090779503338585E-2</v>
      </c>
    </row>
    <row r="414" spans="1:7" s="40" customFormat="1" ht="15" customHeight="1" x14ac:dyDescent="0.35">
      <c r="A414" s="38"/>
      <c r="B414" s="26"/>
      <c r="C414" s="26"/>
      <c r="D414" s="26"/>
      <c r="E414" s="26"/>
      <c r="F414" s="26"/>
      <c r="G414" s="26"/>
    </row>
    <row r="450" ht="25.5" customHeight="1" x14ac:dyDescent="0.35"/>
    <row r="451" ht="27.75" customHeight="1" x14ac:dyDescent="0.35"/>
    <row r="458" ht="29.25" customHeight="1" x14ac:dyDescent="0.35"/>
    <row r="459" ht="17.25" customHeight="1" x14ac:dyDescent="0.35"/>
    <row r="478" ht="16.5" customHeight="1" x14ac:dyDescent="0.35"/>
    <row r="485" ht="13" x14ac:dyDescent="0.35"/>
    <row r="494" ht="27" customHeight="1" x14ac:dyDescent="0.35"/>
  </sheetData>
  <mergeCells count="49">
    <mergeCell ref="A266:F266"/>
    <mergeCell ref="A267:G267"/>
    <mergeCell ref="A268:G268"/>
    <mergeCell ref="A273:G273"/>
    <mergeCell ref="B378:E378"/>
    <mergeCell ref="A321:F321"/>
    <mergeCell ref="D322:F322"/>
    <mergeCell ref="A341:D341"/>
    <mergeCell ref="F341:G341"/>
    <mergeCell ref="A374:C374"/>
    <mergeCell ref="A314:C314"/>
    <mergeCell ref="A377:F377"/>
    <mergeCell ref="A278:G278"/>
    <mergeCell ref="E314:G314"/>
    <mergeCell ref="D338:F338"/>
    <mergeCell ref="B379:E379"/>
    <mergeCell ref="B380:E380"/>
    <mergeCell ref="B395:E395"/>
    <mergeCell ref="B396:E396"/>
    <mergeCell ref="A388:F388"/>
    <mergeCell ref="B389:E389"/>
    <mergeCell ref="B390:E390"/>
    <mergeCell ref="B391:E391"/>
    <mergeCell ref="A393:F393"/>
    <mergeCell ref="B383:D383"/>
    <mergeCell ref="B384:D384"/>
    <mergeCell ref="B386:D386"/>
    <mergeCell ref="A382:F382"/>
    <mergeCell ref="B385:D385"/>
    <mergeCell ref="B394:E394"/>
    <mergeCell ref="A74:G74"/>
    <mergeCell ref="A265:G265"/>
    <mergeCell ref="A109:G109"/>
    <mergeCell ref="A110:F110"/>
    <mergeCell ref="A111:G111"/>
    <mergeCell ref="A112:G112"/>
    <mergeCell ref="A147:G147"/>
    <mergeCell ref="A187:G187"/>
    <mergeCell ref="A188:F188"/>
    <mergeCell ref="A189:G189"/>
    <mergeCell ref="A190:G190"/>
    <mergeCell ref="A225:G225"/>
    <mergeCell ref="A260:G260"/>
    <mergeCell ref="A182:G182"/>
    <mergeCell ref="A1:G1"/>
    <mergeCell ref="A2:F2"/>
    <mergeCell ref="A3:G3"/>
    <mergeCell ref="A4:G4"/>
    <mergeCell ref="A39:G39"/>
  </mergeCells>
  <pageMargins left="0.67" right="0.27" top="0.36" bottom="1.77" header="0.36" footer="0.3"/>
  <pageSetup paperSize="9"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7"/>
  <sheetViews>
    <sheetView topLeftCell="A7" workbookViewId="0">
      <selection activeCell="G7" sqref="G7"/>
    </sheetView>
  </sheetViews>
  <sheetFormatPr defaultColWidth="9.1796875" defaultRowHeight="13" x14ac:dyDescent="0.3"/>
  <cols>
    <col min="1" max="2" width="13.81640625" style="1" customWidth="1"/>
    <col min="3" max="3" width="13.7265625" style="1" customWidth="1"/>
    <col min="4" max="4" width="14.6328125" style="1" customWidth="1"/>
    <col min="5" max="5" width="16.36328125" style="1" customWidth="1"/>
    <col min="6" max="6" width="19.36328125" style="1" customWidth="1"/>
    <col min="7" max="7" width="12" style="1" customWidth="1"/>
    <col min="8" max="16384" width="9.1796875" style="1"/>
  </cols>
  <sheetData>
    <row r="1" spans="1:7" ht="21" customHeight="1" x14ac:dyDescent="0.3">
      <c r="A1" s="125" t="s">
        <v>61</v>
      </c>
      <c r="B1" s="125"/>
      <c r="C1" s="125"/>
      <c r="D1" s="125"/>
      <c r="E1" s="125"/>
      <c r="F1" s="125"/>
      <c r="G1" s="125"/>
    </row>
    <row r="2" spans="1:7" x14ac:dyDescent="0.3">
      <c r="A2" s="125" t="s">
        <v>99</v>
      </c>
      <c r="B2" s="125"/>
      <c r="C2" s="125"/>
      <c r="D2" s="125"/>
      <c r="E2" s="125"/>
      <c r="F2" s="125"/>
      <c r="G2" s="125"/>
    </row>
    <row r="3" spans="1:7" x14ac:dyDescent="0.3">
      <c r="A3" s="126" t="s">
        <v>11</v>
      </c>
      <c r="B3" s="126"/>
      <c r="C3" s="126"/>
      <c r="D3" s="126"/>
      <c r="E3" s="126"/>
      <c r="F3" s="126"/>
      <c r="G3" s="39">
        <v>130</v>
      </c>
    </row>
    <row r="4" spans="1:7" ht="26" x14ac:dyDescent="0.3">
      <c r="A4" s="19" t="s">
        <v>6</v>
      </c>
      <c r="B4" s="29" t="s">
        <v>8</v>
      </c>
      <c r="C4" s="29" t="s">
        <v>7</v>
      </c>
      <c r="D4" s="29" t="s">
        <v>9</v>
      </c>
      <c r="E4" s="29" t="s">
        <v>19</v>
      </c>
      <c r="F4" s="19" t="s">
        <v>12</v>
      </c>
      <c r="G4" s="29" t="s">
        <v>13</v>
      </c>
    </row>
    <row r="5" spans="1:7" ht="15.75" customHeight="1" x14ac:dyDescent="0.35">
      <c r="A5" s="86">
        <v>45962</v>
      </c>
      <c r="B5">
        <v>145.1764705882353</v>
      </c>
      <c r="C5">
        <v>884</v>
      </c>
      <c r="D5">
        <v>128336</v>
      </c>
      <c r="E5" s="23">
        <f>Table7214[[#This Row],[Call Count]]*130</f>
        <v>114920</v>
      </c>
      <c r="F5" s="23">
        <f>IF(Table7214[[#This Row],[Total Duration (S)]]&gt;Table7214[[#This Row],[130 * Call Count (S)]],Table7214[[#This Row],[130 * Call Count (S)]],Table7214[[#This Row],[Total Duration (S)]])</f>
        <v>114920</v>
      </c>
      <c r="G5" s="22">
        <f>Table7214[[#This Row],[Unit (S)]]/60</f>
        <v>1915.3333333333333</v>
      </c>
    </row>
    <row r="6" spans="1:7" ht="15.75" customHeight="1" x14ac:dyDescent="0.35">
      <c r="A6" s="86">
        <v>45963</v>
      </c>
      <c r="B6">
        <v>157.57679999999999</v>
      </c>
      <c r="C6">
        <v>1250</v>
      </c>
      <c r="D6">
        <v>196971</v>
      </c>
      <c r="E6" s="23">
        <f>Table7214[[#This Row],[Call Count]]*130</f>
        <v>162500</v>
      </c>
      <c r="F6" s="23">
        <f>IF(Table7214[[#This Row],[Total Duration (S)]]&gt;Table7214[[#This Row],[130 * Call Count (S)]],Table7214[[#This Row],[130 * Call Count (S)]],Table7214[[#This Row],[Total Duration (S)]])</f>
        <v>162500</v>
      </c>
      <c r="G6" s="22">
        <f>Table7214[[#This Row],[Unit (S)]]/60</f>
        <v>2708.3333333333335</v>
      </c>
    </row>
    <row r="7" spans="1:7" ht="15.75" customHeight="1" x14ac:dyDescent="0.35">
      <c r="A7" s="86">
        <v>45964</v>
      </c>
      <c r="B7">
        <v>156.98711340206185</v>
      </c>
      <c r="C7">
        <v>776</v>
      </c>
      <c r="D7">
        <v>121822</v>
      </c>
      <c r="E7" s="23">
        <f>Table7214[[#This Row],[Call Count]]*130</f>
        <v>100880</v>
      </c>
      <c r="F7" s="23">
        <f>IF(Table7214[[#This Row],[Total Duration (S)]]&gt;Table7214[[#This Row],[130 * Call Count (S)]],Table7214[[#This Row],[130 * Call Count (S)]],Table7214[[#This Row],[Total Duration (S)]])</f>
        <v>100880</v>
      </c>
      <c r="G7" s="22">
        <f>Table7214[[#This Row],[Unit (S)]]/60</f>
        <v>1681.3333333333333</v>
      </c>
    </row>
    <row r="8" spans="1:7" ht="15.75" customHeight="1" x14ac:dyDescent="0.35">
      <c r="A8" s="86">
        <v>45965</v>
      </c>
      <c r="B8">
        <v>156.65898617511522</v>
      </c>
      <c r="C8">
        <v>868</v>
      </c>
      <c r="D8">
        <v>135980</v>
      </c>
      <c r="E8" s="23">
        <f>Table7214[[#This Row],[Call Count]]*130</f>
        <v>112840</v>
      </c>
      <c r="F8" s="23">
        <f>IF(Table7214[[#This Row],[Total Duration (S)]]&gt;Table7214[[#This Row],[130 * Call Count (S)]],Table7214[[#This Row],[130 * Call Count (S)]],Table7214[[#This Row],[Total Duration (S)]])</f>
        <v>112840</v>
      </c>
      <c r="G8" s="22">
        <f>Table7214[[#This Row],[Unit (S)]]/60</f>
        <v>1880.6666666666667</v>
      </c>
    </row>
    <row r="9" spans="1:7" ht="15.75" customHeight="1" x14ac:dyDescent="0.35">
      <c r="A9" s="86">
        <v>45966</v>
      </c>
      <c r="B9">
        <v>153.57222739981361</v>
      </c>
      <c r="C9">
        <v>1073</v>
      </c>
      <c r="D9">
        <v>164783</v>
      </c>
      <c r="E9" s="23">
        <f>Table7214[[#This Row],[Call Count]]*130</f>
        <v>139490</v>
      </c>
      <c r="F9" s="23">
        <f>IF(Table7214[[#This Row],[Total Duration (S)]]&gt;Table7214[[#This Row],[130 * Call Count (S)]],Table7214[[#This Row],[130 * Call Count (S)]],Table7214[[#This Row],[Total Duration (S)]])</f>
        <v>139490</v>
      </c>
      <c r="G9" s="22">
        <f>Table7214[[#This Row],[Unit (S)]]/60</f>
        <v>2324.8333333333335</v>
      </c>
    </row>
    <row r="10" spans="1:7" ht="15.75" customHeight="1" x14ac:dyDescent="0.35">
      <c r="A10" s="86">
        <v>45967</v>
      </c>
      <c r="B10">
        <v>157.61896400351185</v>
      </c>
      <c r="C10">
        <v>1139</v>
      </c>
      <c r="D10">
        <v>179528</v>
      </c>
      <c r="E10" s="23">
        <f>Table7214[[#This Row],[Call Count]]*130</f>
        <v>148070</v>
      </c>
      <c r="F10" s="23">
        <f>IF(Table7214[[#This Row],[Total Duration (S)]]&gt;Table7214[[#This Row],[130 * Call Count (S)]],Table7214[[#This Row],[130 * Call Count (S)]],Table7214[[#This Row],[Total Duration (S)]])</f>
        <v>148070</v>
      </c>
      <c r="G10" s="22">
        <f>Table7214[[#This Row],[Unit (S)]]/60</f>
        <v>2467.8333333333335</v>
      </c>
    </row>
    <row r="11" spans="1:7" ht="15.75" customHeight="1" x14ac:dyDescent="0.35">
      <c r="A11" s="86">
        <v>45968</v>
      </c>
      <c r="B11">
        <v>152.247533632287</v>
      </c>
      <c r="C11">
        <v>1115</v>
      </c>
      <c r="D11">
        <v>169756</v>
      </c>
      <c r="E11" s="23">
        <f>Table7214[[#This Row],[Call Count]]*130</f>
        <v>144950</v>
      </c>
      <c r="F11" s="23">
        <f>IF(Table7214[[#This Row],[Total Duration (S)]]&gt;Table7214[[#This Row],[130 * Call Count (S)]],Table7214[[#This Row],[130 * Call Count (S)]],Table7214[[#This Row],[Total Duration (S)]])</f>
        <v>144950</v>
      </c>
      <c r="G11" s="22">
        <f>Table7214[[#This Row],[Unit (S)]]/60</f>
        <v>2415.8333333333335</v>
      </c>
    </row>
    <row r="12" spans="1:7" ht="15.75" customHeight="1" x14ac:dyDescent="0.35">
      <c r="A12" s="86">
        <v>45969</v>
      </c>
      <c r="B12">
        <v>149.11995637949838</v>
      </c>
      <c r="C12">
        <v>917</v>
      </c>
      <c r="D12">
        <v>136743</v>
      </c>
      <c r="E12" s="23">
        <f>Table7214[[#This Row],[Call Count]]*130</f>
        <v>119210</v>
      </c>
      <c r="F12" s="23">
        <f>IF(Table7214[[#This Row],[Total Duration (S)]]&gt;Table7214[[#This Row],[130 * Call Count (S)]],Table7214[[#This Row],[130 * Call Count (S)]],Table7214[[#This Row],[Total Duration (S)]])</f>
        <v>119210</v>
      </c>
      <c r="G12" s="22">
        <f>Table7214[[#This Row],[Unit (S)]]/60</f>
        <v>1986.8333333333333</v>
      </c>
    </row>
    <row r="13" spans="1:7" ht="15.75" customHeight="1" x14ac:dyDescent="0.35">
      <c r="A13" s="86">
        <v>45970</v>
      </c>
      <c r="B13">
        <v>164.50973654066436</v>
      </c>
      <c r="C13">
        <v>873</v>
      </c>
      <c r="D13">
        <v>143617</v>
      </c>
      <c r="E13" s="23">
        <f>Table7214[[#This Row],[Call Count]]*130</f>
        <v>113490</v>
      </c>
      <c r="F13" s="23">
        <f>IF(Table7214[[#This Row],[Total Duration (S)]]&gt;Table7214[[#This Row],[130 * Call Count (S)]],Table7214[[#This Row],[130 * Call Count (S)]],Table7214[[#This Row],[Total Duration (S)]])</f>
        <v>113490</v>
      </c>
      <c r="G13" s="22">
        <f>Table7214[[#This Row],[Unit (S)]]/60</f>
        <v>1891.5</v>
      </c>
    </row>
    <row r="14" spans="1:7" ht="15.75" customHeight="1" x14ac:dyDescent="0.35">
      <c r="A14" s="86">
        <v>45971</v>
      </c>
      <c r="B14">
        <v>153.77477477477478</v>
      </c>
      <c r="C14">
        <v>777</v>
      </c>
      <c r="D14">
        <v>119483</v>
      </c>
      <c r="E14" s="23">
        <f>Table7214[[#This Row],[Call Count]]*130</f>
        <v>101010</v>
      </c>
      <c r="F14" s="23">
        <f>IF(Table7214[[#This Row],[Total Duration (S)]]&gt;Table7214[[#This Row],[130 * Call Count (S)]],Table7214[[#This Row],[130 * Call Count (S)]],Table7214[[#This Row],[Total Duration (S)]])</f>
        <v>101010</v>
      </c>
      <c r="G14" s="22">
        <f>Table7214[[#This Row],[Unit (S)]]/60</f>
        <v>1683.5</v>
      </c>
    </row>
    <row r="15" spans="1:7" ht="15.75" customHeight="1" x14ac:dyDescent="0.35">
      <c r="A15" s="86">
        <v>45972</v>
      </c>
      <c r="B15">
        <v>159.71271729185727</v>
      </c>
      <c r="C15">
        <v>1093</v>
      </c>
      <c r="D15">
        <v>174566</v>
      </c>
      <c r="E15" s="23">
        <f>Table7214[[#This Row],[Call Count]]*130</f>
        <v>142090</v>
      </c>
      <c r="F15" s="23">
        <f>IF(Table7214[[#This Row],[Total Duration (S)]]&gt;Table7214[[#This Row],[130 * Call Count (S)]],Table7214[[#This Row],[130 * Call Count (S)]],Table7214[[#This Row],[Total Duration (S)]])</f>
        <v>142090</v>
      </c>
      <c r="G15" s="22">
        <f>Table7214[[#This Row],[Unit (S)]]/60</f>
        <v>2368.1666666666665</v>
      </c>
    </row>
    <row r="16" spans="1:7" ht="15.75" customHeight="1" x14ac:dyDescent="0.35">
      <c r="A16" s="86">
        <v>45973</v>
      </c>
      <c r="B16">
        <v>149.61854684512429</v>
      </c>
      <c r="C16">
        <v>1046</v>
      </c>
      <c r="D16">
        <v>156501</v>
      </c>
      <c r="E16" s="23">
        <f>Table7214[[#This Row],[Call Count]]*130</f>
        <v>135980</v>
      </c>
      <c r="F16" s="23">
        <f>IF(Table7214[[#This Row],[Total Duration (S)]]&gt;Table7214[[#This Row],[130 * Call Count (S)]],Table7214[[#This Row],[130 * Call Count (S)]],Table7214[[#This Row],[Total Duration (S)]])</f>
        <v>135980</v>
      </c>
      <c r="G16" s="22">
        <f>Table7214[[#This Row],[Unit (S)]]/60</f>
        <v>2266.3333333333335</v>
      </c>
    </row>
    <row r="17" spans="1:8" ht="15.75" customHeight="1" x14ac:dyDescent="0.35">
      <c r="A17" s="86">
        <v>45974</v>
      </c>
      <c r="B17">
        <v>150.10786290322579</v>
      </c>
      <c r="C17">
        <v>992</v>
      </c>
      <c r="D17">
        <v>148907</v>
      </c>
      <c r="E17" s="23">
        <f>Table7214[[#This Row],[Call Count]]*130</f>
        <v>128960</v>
      </c>
      <c r="F17" s="23">
        <f>IF(Table7214[[#This Row],[Total Duration (S)]]&gt;Table7214[[#This Row],[130 * Call Count (S)]],Table7214[[#This Row],[130 * Call Count (S)]],Table7214[[#This Row],[Total Duration (S)]])</f>
        <v>128960</v>
      </c>
      <c r="G17" s="22">
        <f>Table7214[[#This Row],[Unit (S)]]/60</f>
        <v>2149.3333333333335</v>
      </c>
    </row>
    <row r="18" spans="1:8" ht="15.75" customHeight="1" x14ac:dyDescent="0.35">
      <c r="A18" s="86">
        <v>45975</v>
      </c>
      <c r="B18">
        <v>149.20947630922694</v>
      </c>
      <c r="C18">
        <v>802</v>
      </c>
      <c r="D18">
        <v>119666</v>
      </c>
      <c r="E18" s="23">
        <f>Table7214[[#This Row],[Call Count]]*130</f>
        <v>104260</v>
      </c>
      <c r="F18" s="23">
        <f>IF(Table7214[[#This Row],[Total Duration (S)]]&gt;Table7214[[#This Row],[130 * Call Count (S)]],Table7214[[#This Row],[130 * Call Count (S)]],Table7214[[#This Row],[Total Duration (S)]])</f>
        <v>104260</v>
      </c>
      <c r="G18" s="22">
        <f>Table7214[[#This Row],[Unit (S)]]/60</f>
        <v>1737.6666666666667</v>
      </c>
    </row>
    <row r="19" spans="1:8" ht="15.75" customHeight="1" x14ac:dyDescent="0.35">
      <c r="A19" s="86">
        <v>45976</v>
      </c>
      <c r="B19">
        <v>154.40423654015888</v>
      </c>
      <c r="C19">
        <v>1133</v>
      </c>
      <c r="D19">
        <v>174940</v>
      </c>
      <c r="E19" s="23">
        <f>Table7214[[#This Row],[Call Count]]*130</f>
        <v>147290</v>
      </c>
      <c r="F19" s="23">
        <f>IF(Table7214[[#This Row],[Total Duration (S)]]&gt;Table7214[[#This Row],[130 * Call Count (S)]],Table7214[[#This Row],[130 * Call Count (S)]],Table7214[[#This Row],[Total Duration (S)]])</f>
        <v>147290</v>
      </c>
      <c r="G19" s="22">
        <f>Table7214[[#This Row],[Unit (S)]]/60</f>
        <v>2454.8333333333335</v>
      </c>
    </row>
    <row r="20" spans="1:8" ht="15.75" customHeight="1" x14ac:dyDescent="0.35">
      <c r="A20" s="86">
        <v>45977</v>
      </c>
      <c r="B20">
        <v>162.08795074758135</v>
      </c>
      <c r="C20">
        <v>1137</v>
      </c>
      <c r="D20">
        <v>184294</v>
      </c>
      <c r="E20" s="23">
        <f>Table7214[[#This Row],[Call Count]]*130</f>
        <v>147810</v>
      </c>
      <c r="F20" s="23">
        <f>IF(Table7214[[#This Row],[Total Duration (S)]]&gt;Table7214[[#This Row],[130 * Call Count (S)]],Table7214[[#This Row],[130 * Call Count (S)]],Table7214[[#This Row],[Total Duration (S)]])</f>
        <v>147810</v>
      </c>
      <c r="G20" s="22">
        <f>Table7214[[#This Row],[Unit (S)]]/60</f>
        <v>2463.5</v>
      </c>
    </row>
    <row r="21" spans="1:8" ht="15.75" customHeight="1" x14ac:dyDescent="0.35">
      <c r="A21" s="86">
        <v>45978</v>
      </c>
      <c r="B21">
        <v>161.64761904761906</v>
      </c>
      <c r="C21">
        <v>735</v>
      </c>
      <c r="D21">
        <v>118811</v>
      </c>
      <c r="E21" s="23">
        <f>Table7214[[#This Row],[Call Count]]*130</f>
        <v>95550</v>
      </c>
      <c r="F21" s="23">
        <f>IF(Table7214[[#This Row],[Total Duration (S)]]&gt;Table7214[[#This Row],[130 * Call Count (S)]],Table7214[[#This Row],[130 * Call Count (S)]],Table7214[[#This Row],[Total Duration (S)]])</f>
        <v>95550</v>
      </c>
      <c r="G21" s="22">
        <f>Table7214[[#This Row],[Unit (S)]]/60</f>
        <v>1592.5</v>
      </c>
    </row>
    <row r="22" spans="1:8" ht="15.75" customHeight="1" x14ac:dyDescent="0.35">
      <c r="A22" s="86">
        <v>45979</v>
      </c>
      <c r="B22">
        <v>141.18721461187215</v>
      </c>
      <c r="C22">
        <v>1095</v>
      </c>
      <c r="D22">
        <v>154600</v>
      </c>
      <c r="E22" s="23">
        <f>Table7214[[#This Row],[Call Count]]*130</f>
        <v>142350</v>
      </c>
      <c r="F22" s="23">
        <f>IF(Table7214[[#This Row],[Total Duration (S)]]&gt;Table7214[[#This Row],[130 * Call Count (S)]],Table7214[[#This Row],[130 * Call Count (S)]],Table7214[[#This Row],[Total Duration (S)]])</f>
        <v>142350</v>
      </c>
      <c r="G22" s="22">
        <f>Table7214[[#This Row],[Unit (S)]]/60</f>
        <v>2372.5</v>
      </c>
    </row>
    <row r="23" spans="1:8" ht="15.75" customHeight="1" x14ac:dyDescent="0.35">
      <c r="A23" s="86">
        <v>45980</v>
      </c>
      <c r="B23">
        <v>155.48722627737226</v>
      </c>
      <c r="C23">
        <v>548</v>
      </c>
      <c r="D23">
        <v>85207</v>
      </c>
      <c r="E23" s="23">
        <f>Table7214[[#This Row],[Call Count]]*130</f>
        <v>71240</v>
      </c>
      <c r="F23" s="23">
        <f>IF(Table7214[[#This Row],[Total Duration (S)]]&gt;Table7214[[#This Row],[130 * Call Count (S)]],Table7214[[#This Row],[130 * Call Count (S)]],Table7214[[#This Row],[Total Duration (S)]])</f>
        <v>71240</v>
      </c>
      <c r="G23" s="22">
        <f>Table7214[[#This Row],[Unit (S)]]/60</f>
        <v>1187.3333333333333</v>
      </c>
    </row>
    <row r="24" spans="1:8" ht="15.75" customHeight="1" x14ac:dyDescent="0.35">
      <c r="A24" s="86">
        <v>45981</v>
      </c>
      <c r="B24">
        <v>150.68938656280429</v>
      </c>
      <c r="C24">
        <v>1027</v>
      </c>
      <c r="D24">
        <v>154758</v>
      </c>
      <c r="E24" s="23">
        <f>Table7214[[#This Row],[Call Count]]*130</f>
        <v>133510</v>
      </c>
      <c r="F24" s="23">
        <f>IF(Table7214[[#This Row],[Total Duration (S)]]&gt;Table7214[[#This Row],[130 * Call Count (S)]],Table7214[[#This Row],[130 * Call Count (S)]],Table7214[[#This Row],[Total Duration (S)]])</f>
        <v>133510</v>
      </c>
      <c r="G24" s="22">
        <f>Table7214[[#This Row],[Unit (S)]]/60</f>
        <v>2225.1666666666665</v>
      </c>
    </row>
    <row r="25" spans="1:8" ht="15.75" customHeight="1" x14ac:dyDescent="0.35">
      <c r="A25" s="86">
        <v>45982</v>
      </c>
      <c r="B25">
        <v>149.90172413793104</v>
      </c>
      <c r="C25">
        <v>580</v>
      </c>
      <c r="D25">
        <v>86943</v>
      </c>
      <c r="E25" s="23">
        <f>Table7214[[#This Row],[Call Count]]*130</f>
        <v>75400</v>
      </c>
      <c r="F25" s="23">
        <f>IF(Table7214[[#This Row],[Total Duration (S)]]&gt;Table7214[[#This Row],[130 * Call Count (S)]],Table7214[[#This Row],[130 * Call Count (S)]],Table7214[[#This Row],[Total Duration (S)]])</f>
        <v>75400</v>
      </c>
      <c r="G25" s="22">
        <f>Table7214[[#This Row],[Unit (S)]]/60</f>
        <v>1256.6666666666667</v>
      </c>
    </row>
    <row r="26" spans="1:8" ht="15.75" customHeight="1" x14ac:dyDescent="0.35">
      <c r="A26" s="86">
        <v>45983</v>
      </c>
      <c r="B26">
        <v>154.97120158887785</v>
      </c>
      <c r="C26">
        <v>1007</v>
      </c>
      <c r="D26">
        <v>156056</v>
      </c>
      <c r="E26" s="23">
        <f>Table7214[[#This Row],[Call Count]]*130</f>
        <v>130910</v>
      </c>
      <c r="F26" s="23">
        <f>IF(Table7214[[#This Row],[Total Duration (S)]]&gt;Table7214[[#This Row],[130 * Call Count (S)]],Table7214[[#This Row],[130 * Call Count (S)]],Table7214[[#This Row],[Total Duration (S)]])</f>
        <v>130910</v>
      </c>
      <c r="G26" s="22">
        <f>Table7214[[#This Row],[Unit (S)]]/60</f>
        <v>2181.8333333333335</v>
      </c>
    </row>
    <row r="27" spans="1:8" ht="15.75" customHeight="1" x14ac:dyDescent="0.35">
      <c r="A27" s="86">
        <v>45984</v>
      </c>
      <c r="B27">
        <v>146.44257703081232</v>
      </c>
      <c r="C27">
        <v>714</v>
      </c>
      <c r="D27">
        <v>104560</v>
      </c>
      <c r="E27" s="23">
        <f>Table7214[[#This Row],[Call Count]]*130</f>
        <v>92820</v>
      </c>
      <c r="F27" s="23">
        <f>IF(Table7214[[#This Row],[Total Duration (S)]]&gt;Table7214[[#This Row],[130 * Call Count (S)]],Table7214[[#This Row],[130 * Call Count (S)]],Table7214[[#This Row],[Total Duration (S)]])</f>
        <v>92820</v>
      </c>
      <c r="G27" s="22">
        <f>Table7214[[#This Row],[Unit (S)]]/60</f>
        <v>1547</v>
      </c>
    </row>
    <row r="28" spans="1:8" ht="15.75" customHeight="1" x14ac:dyDescent="0.35">
      <c r="A28" s="86">
        <v>45985</v>
      </c>
      <c r="B28">
        <v>156.26609442060087</v>
      </c>
      <c r="C28">
        <v>466</v>
      </c>
      <c r="D28">
        <v>72820</v>
      </c>
      <c r="E28" s="23">
        <f>Table7214[[#This Row],[Call Count]]*130</f>
        <v>60580</v>
      </c>
      <c r="F28" s="23">
        <f>IF(Table7214[[#This Row],[Total Duration (S)]]&gt;Table7214[[#This Row],[130 * Call Count (S)]],Table7214[[#This Row],[130 * Call Count (S)]],Table7214[[#This Row],[Total Duration (S)]])</f>
        <v>60580</v>
      </c>
      <c r="G28" s="22">
        <f>Table7214[[#This Row],[Unit (S)]]/60</f>
        <v>1009.6666666666666</v>
      </c>
    </row>
    <row r="29" spans="1:8" ht="15.75" customHeight="1" x14ac:dyDescent="0.35">
      <c r="A29" s="86">
        <v>45986</v>
      </c>
      <c r="B29">
        <v>166.40986717267552</v>
      </c>
      <c r="C29">
        <v>527</v>
      </c>
      <c r="D29">
        <v>87698</v>
      </c>
      <c r="E29" s="23">
        <f>Table7214[[#This Row],[Call Count]]*130</f>
        <v>68510</v>
      </c>
      <c r="F29" s="23">
        <f>IF(Table7214[[#This Row],[Total Duration (S)]]&gt;Table7214[[#This Row],[130 * Call Count (S)]],Table7214[[#This Row],[130 * Call Count (S)]],Table7214[[#This Row],[Total Duration (S)]])</f>
        <v>68510</v>
      </c>
      <c r="G29" s="22">
        <f>Table7214[[#This Row],[Unit (S)]]/60</f>
        <v>1141.8333333333333</v>
      </c>
    </row>
    <row r="30" spans="1:8" ht="15.75" customHeight="1" x14ac:dyDescent="0.35">
      <c r="A30" s="86">
        <v>45987</v>
      </c>
      <c r="B30">
        <v>160.22149837133551</v>
      </c>
      <c r="C30">
        <v>921</v>
      </c>
      <c r="D30">
        <v>147564</v>
      </c>
      <c r="E30" s="23">
        <f>Table7214[[#This Row],[Call Count]]*130</f>
        <v>119730</v>
      </c>
      <c r="F30" s="23">
        <f>IF(Table7214[[#This Row],[Total Duration (S)]]&gt;Table7214[[#This Row],[130 * Call Count (S)]],Table7214[[#This Row],[130 * Call Count (S)]],Table7214[[#This Row],[Total Duration (S)]])</f>
        <v>119730</v>
      </c>
      <c r="G30" s="22">
        <f>Table7214[[#This Row],[Unit (S)]]/60</f>
        <v>1995.5</v>
      </c>
    </row>
    <row r="31" spans="1:8" ht="15.75" customHeight="1" x14ac:dyDescent="0.35">
      <c r="A31" s="86">
        <v>45988</v>
      </c>
      <c r="B31">
        <v>163.09449541284403</v>
      </c>
      <c r="C31">
        <v>1090</v>
      </c>
      <c r="D31">
        <v>177773</v>
      </c>
      <c r="E31" s="23">
        <f>Table7214[[#This Row],[Call Count]]*130</f>
        <v>141700</v>
      </c>
      <c r="F31" s="23">
        <f>IF(Table7214[[#This Row],[Total Duration (S)]]&gt;Table7214[[#This Row],[130 * Call Count (S)]],Table7214[[#This Row],[130 * Call Count (S)]],Table7214[[#This Row],[Total Duration (S)]])</f>
        <v>141700</v>
      </c>
      <c r="G31" s="22">
        <f>Table7214[[#This Row],[Unit (S)]]/60</f>
        <v>2361.6666666666665</v>
      </c>
      <c r="H31" s="1" t="s">
        <v>119</v>
      </c>
    </row>
    <row r="32" spans="1:8" ht="15.75" customHeight="1" x14ac:dyDescent="0.35">
      <c r="A32" s="86">
        <v>45989</v>
      </c>
      <c r="B32">
        <v>170.84085510688837</v>
      </c>
      <c r="C32">
        <v>842</v>
      </c>
      <c r="D32">
        <v>143848</v>
      </c>
      <c r="E32" s="23">
        <f>Table7214[[#This Row],[Call Count]]*130</f>
        <v>109460</v>
      </c>
      <c r="F32" s="23">
        <f>IF(Table7214[[#This Row],[Total Duration (S)]]&gt;Table7214[[#This Row],[130 * Call Count (S)]],Table7214[[#This Row],[130 * Call Count (S)]],Table7214[[#This Row],[Total Duration (S)]])</f>
        <v>109460</v>
      </c>
      <c r="G32" s="22">
        <f>Table7214[[#This Row],[Unit (S)]]/60</f>
        <v>1824.3333333333333</v>
      </c>
    </row>
    <row r="33" spans="1:7" ht="15.75" customHeight="1" x14ac:dyDescent="0.35">
      <c r="A33" s="86">
        <v>45990</v>
      </c>
      <c r="B33">
        <v>162.54347826086956</v>
      </c>
      <c r="C33">
        <v>828</v>
      </c>
      <c r="D33">
        <v>134586</v>
      </c>
      <c r="E33" s="23">
        <f>Table7214[[#This Row],[Call Count]]*130</f>
        <v>107640</v>
      </c>
      <c r="F33" s="23">
        <f>IF(Table7214[[#This Row],[Total Duration (S)]]&gt;Table7214[[#This Row],[130 * Call Count (S)]],Table7214[[#This Row],[130 * Call Count (S)]],Table7214[[#This Row],[Total Duration (S)]])</f>
        <v>107640</v>
      </c>
      <c r="G33" s="22">
        <f>Table7214[[#This Row],[Unit (S)]]/60</f>
        <v>1794</v>
      </c>
    </row>
    <row r="34" spans="1:7" ht="15.75" customHeight="1" x14ac:dyDescent="0.35">
      <c r="A34" s="86">
        <v>45991</v>
      </c>
      <c r="B34">
        <v>154.1246153846154</v>
      </c>
      <c r="C34">
        <v>650</v>
      </c>
      <c r="D34">
        <v>100181</v>
      </c>
      <c r="E34" s="23">
        <f>Table7214[[#This Row],[Call Count]]*130</f>
        <v>84500</v>
      </c>
      <c r="F34" s="23">
        <f>IF(Table7214[[#This Row],[Total Duration (S)]]&gt;Table7214[[#This Row],[130 * Call Count (S)]],Table7214[[#This Row],[130 * Call Count (S)]],Table7214[[#This Row],[Total Duration (S)]])</f>
        <v>84500</v>
      </c>
      <c r="G34" s="22">
        <f>Table7214[[#This Row],[Unit (S)]]/60</f>
        <v>1408.3333333333333</v>
      </c>
    </row>
    <row r="35" spans="1:7" ht="14.5" x14ac:dyDescent="0.35">
      <c r="A35" s="86"/>
      <c r="B35"/>
      <c r="C35"/>
      <c r="D35"/>
      <c r="E35" s="23"/>
      <c r="F35" s="23"/>
      <c r="G35" s="22"/>
    </row>
    <row r="36" spans="1:7" x14ac:dyDescent="0.3">
      <c r="A36" s="88"/>
      <c r="B36" s="89"/>
      <c r="C36" s="89"/>
      <c r="D36" s="89">
        <f>SUBTOTAL(109,Table7214[Total Duration (S)])</f>
        <v>4181298</v>
      </c>
      <c r="E36" s="89">
        <f>SUBTOTAL(109,E5:E35)</f>
        <v>3497650</v>
      </c>
      <c r="F36" s="89">
        <f>SUBTOTAL(109,F5:F35)</f>
        <v>3497650</v>
      </c>
      <c r="G36" s="90">
        <f>SUBTOTAL(109,Table7214[Unit (Minutes)])</f>
        <v>58294.166666666664</v>
      </c>
    </row>
    <row r="37" spans="1:7" x14ac:dyDescent="0.3">
      <c r="A37" s="125" t="s">
        <v>100</v>
      </c>
      <c r="B37" s="125"/>
      <c r="C37" s="125"/>
      <c r="D37" s="125"/>
      <c r="E37" s="125"/>
      <c r="F37" s="125"/>
      <c r="G37" s="125"/>
    </row>
    <row r="38" spans="1:7" x14ac:dyDescent="0.3">
      <c r="A38" s="126" t="s">
        <v>11</v>
      </c>
      <c r="B38" s="126"/>
      <c r="C38" s="126"/>
      <c r="D38" s="126"/>
      <c r="E38" s="126"/>
      <c r="F38" s="126"/>
      <c r="G38" s="39">
        <v>150</v>
      </c>
    </row>
    <row r="39" spans="1:7" ht="26" x14ac:dyDescent="0.3">
      <c r="A39" s="19" t="s">
        <v>6</v>
      </c>
      <c r="B39" s="29" t="s">
        <v>8</v>
      </c>
      <c r="C39" s="29" t="s">
        <v>7</v>
      </c>
      <c r="D39" s="29" t="s">
        <v>9</v>
      </c>
      <c r="E39" s="29" t="s">
        <v>20</v>
      </c>
      <c r="F39" s="29" t="s">
        <v>12</v>
      </c>
      <c r="G39" s="29" t="s">
        <v>13</v>
      </c>
    </row>
    <row r="40" spans="1:7" x14ac:dyDescent="0.3">
      <c r="A40" s="20"/>
      <c r="B40" s="22"/>
      <c r="C40" s="23"/>
      <c r="D40" s="22"/>
      <c r="E40" s="23"/>
      <c r="F40" s="22"/>
      <c r="G40" s="22"/>
    </row>
    <row r="41" spans="1:7" x14ac:dyDescent="0.3">
      <c r="A41" s="20"/>
      <c r="B41" s="22"/>
      <c r="C41" s="23"/>
      <c r="D41" s="22"/>
      <c r="E41" s="23"/>
      <c r="F41" s="22"/>
      <c r="G41" s="22"/>
    </row>
    <row r="42" spans="1:7" x14ac:dyDescent="0.3">
      <c r="A42" s="20"/>
      <c r="B42" s="22"/>
      <c r="C42" s="23"/>
      <c r="D42" s="22"/>
      <c r="E42" s="23"/>
      <c r="F42" s="22"/>
      <c r="G42" s="22"/>
    </row>
    <row r="43" spans="1:7" x14ac:dyDescent="0.3">
      <c r="A43" s="20"/>
      <c r="B43" s="22"/>
      <c r="C43" s="23"/>
      <c r="D43" s="22"/>
      <c r="E43" s="23"/>
      <c r="F43" s="22"/>
      <c r="G43" s="22"/>
    </row>
    <row r="44" spans="1:7" x14ac:dyDescent="0.3">
      <c r="A44" s="20"/>
      <c r="B44" s="22"/>
      <c r="C44" s="23"/>
      <c r="D44" s="22"/>
      <c r="E44" s="23"/>
      <c r="F44" s="22"/>
      <c r="G44" s="22"/>
    </row>
    <row r="45" spans="1:7" x14ac:dyDescent="0.3">
      <c r="A45" s="20"/>
      <c r="B45" s="22"/>
      <c r="C45" s="23"/>
      <c r="D45" s="22"/>
      <c r="E45" s="23"/>
      <c r="F45" s="22"/>
      <c r="G45" s="22"/>
    </row>
    <row r="46" spans="1:7" x14ac:dyDescent="0.3">
      <c r="A46" s="20"/>
      <c r="B46" s="22"/>
      <c r="C46" s="23"/>
      <c r="D46" s="22"/>
      <c r="E46" s="23"/>
      <c r="F46" s="22"/>
      <c r="G46" s="22"/>
    </row>
    <row r="47" spans="1:7" x14ac:dyDescent="0.3">
      <c r="A47" s="20"/>
      <c r="B47" s="22"/>
      <c r="C47" s="23"/>
      <c r="D47" s="22"/>
      <c r="E47" s="23"/>
      <c r="F47" s="22"/>
      <c r="G47" s="22"/>
    </row>
    <row r="48" spans="1:7" x14ac:dyDescent="0.3">
      <c r="A48" s="20"/>
      <c r="B48" s="22"/>
      <c r="C48" s="23"/>
      <c r="D48" s="22"/>
      <c r="E48" s="23"/>
      <c r="F48" s="22"/>
      <c r="G48" s="22"/>
    </row>
    <row r="49" spans="1:7" x14ac:dyDescent="0.3">
      <c r="A49" s="20"/>
      <c r="B49" s="22"/>
      <c r="C49" s="23"/>
      <c r="D49" s="22"/>
      <c r="E49" s="23"/>
      <c r="F49" s="22"/>
      <c r="G49" s="22"/>
    </row>
    <row r="50" spans="1:7" x14ac:dyDescent="0.3">
      <c r="A50" s="20"/>
      <c r="B50" s="22"/>
      <c r="C50" s="23"/>
      <c r="D50" s="22"/>
      <c r="E50" s="23"/>
      <c r="F50" s="22"/>
      <c r="G50" s="22"/>
    </row>
    <row r="51" spans="1:7" x14ac:dyDescent="0.3">
      <c r="A51" s="20"/>
      <c r="B51" s="22"/>
      <c r="C51" s="23"/>
      <c r="D51" s="22"/>
      <c r="E51" s="23"/>
      <c r="F51" s="22"/>
      <c r="G51" s="22"/>
    </row>
    <row r="52" spans="1:7" x14ac:dyDescent="0.3">
      <c r="A52" s="20"/>
      <c r="B52" s="22"/>
      <c r="C52" s="23"/>
      <c r="D52" s="22"/>
      <c r="E52" s="23"/>
      <c r="F52" s="22"/>
      <c r="G52" s="22"/>
    </row>
    <row r="53" spans="1:7" x14ac:dyDescent="0.3">
      <c r="A53" s="20"/>
      <c r="B53" s="22"/>
      <c r="C53" s="23"/>
      <c r="D53" s="22"/>
      <c r="E53" s="23"/>
      <c r="F53" s="22"/>
      <c r="G53" s="22"/>
    </row>
    <row r="54" spans="1:7" x14ac:dyDescent="0.3">
      <c r="A54" s="20"/>
      <c r="B54" s="22"/>
      <c r="C54" s="23"/>
      <c r="D54" s="22"/>
      <c r="E54" s="23"/>
      <c r="F54" s="22"/>
      <c r="G54" s="22"/>
    </row>
    <row r="55" spans="1:7" x14ac:dyDescent="0.3">
      <c r="A55" s="20"/>
      <c r="B55" s="22"/>
      <c r="C55" s="23"/>
      <c r="D55" s="22"/>
      <c r="E55" s="23"/>
      <c r="F55" s="22"/>
      <c r="G55" s="22"/>
    </row>
    <row r="56" spans="1:7" x14ac:dyDescent="0.3">
      <c r="A56" s="20"/>
      <c r="B56" s="22"/>
      <c r="C56" s="23"/>
      <c r="D56" s="22"/>
      <c r="E56" s="23"/>
      <c r="F56" s="22"/>
      <c r="G56" s="22"/>
    </row>
    <row r="57" spans="1:7" x14ac:dyDescent="0.3">
      <c r="A57" s="20"/>
      <c r="B57" s="22"/>
      <c r="C57" s="23"/>
      <c r="D57" s="22"/>
      <c r="E57" s="23"/>
      <c r="F57" s="22"/>
      <c r="G57" s="22"/>
    </row>
    <row r="58" spans="1:7" x14ac:dyDescent="0.3">
      <c r="A58" s="20"/>
      <c r="B58" s="22"/>
      <c r="C58" s="23"/>
      <c r="D58" s="22"/>
      <c r="E58" s="23"/>
      <c r="F58" s="22"/>
      <c r="G58" s="22"/>
    </row>
    <row r="59" spans="1:7" x14ac:dyDescent="0.3">
      <c r="A59" s="20"/>
      <c r="B59" s="22"/>
      <c r="C59" s="23"/>
      <c r="D59" s="22"/>
      <c r="E59" s="23"/>
      <c r="F59" s="22"/>
      <c r="G59" s="22"/>
    </row>
    <row r="60" spans="1:7" x14ac:dyDescent="0.3">
      <c r="A60" s="20"/>
      <c r="B60" s="22"/>
      <c r="C60" s="23"/>
      <c r="D60" s="22"/>
      <c r="E60" s="23"/>
      <c r="F60" s="22"/>
      <c r="G60" s="22"/>
    </row>
    <row r="61" spans="1:7" x14ac:dyDescent="0.3">
      <c r="A61" s="20"/>
      <c r="B61" s="22"/>
      <c r="C61" s="23"/>
      <c r="D61" s="22"/>
      <c r="E61" s="23"/>
      <c r="F61" s="22"/>
      <c r="G61" s="22"/>
    </row>
    <row r="62" spans="1:7" x14ac:dyDescent="0.3">
      <c r="A62" s="20"/>
      <c r="B62" s="22"/>
      <c r="C62" s="23"/>
      <c r="D62" s="22"/>
      <c r="E62" s="23"/>
      <c r="F62" s="22"/>
      <c r="G62" s="22"/>
    </row>
    <row r="63" spans="1:7" x14ac:dyDescent="0.3">
      <c r="A63" s="20"/>
      <c r="B63" s="22"/>
      <c r="C63" s="23"/>
      <c r="D63" s="22"/>
      <c r="E63" s="23"/>
      <c r="F63" s="22"/>
      <c r="G63" s="22"/>
    </row>
    <row r="64" spans="1:7" x14ac:dyDescent="0.3">
      <c r="A64" s="20"/>
      <c r="B64" s="22"/>
      <c r="C64" s="23"/>
      <c r="D64" s="22"/>
      <c r="E64" s="23"/>
      <c r="F64" s="22"/>
      <c r="G64" s="22"/>
    </row>
    <row r="65" spans="1:7" x14ac:dyDescent="0.3">
      <c r="A65" s="20"/>
      <c r="B65" s="22"/>
      <c r="C65" s="23"/>
      <c r="D65" s="22"/>
      <c r="E65" s="23"/>
      <c r="F65" s="22"/>
      <c r="G65" s="22"/>
    </row>
    <row r="66" spans="1:7" x14ac:dyDescent="0.3">
      <c r="A66" s="20"/>
      <c r="B66" s="22"/>
      <c r="C66" s="23"/>
      <c r="D66" s="22"/>
      <c r="E66" s="23"/>
      <c r="F66" s="22"/>
      <c r="G66" s="22"/>
    </row>
    <row r="67" spans="1:7" x14ac:dyDescent="0.3">
      <c r="A67" s="20"/>
      <c r="B67" s="22"/>
      <c r="C67" s="23"/>
      <c r="D67" s="22"/>
      <c r="E67" s="23"/>
      <c r="F67" s="22"/>
      <c r="G67" s="22"/>
    </row>
    <row r="68" spans="1:7" x14ac:dyDescent="0.3">
      <c r="A68" s="20"/>
      <c r="B68" s="22"/>
      <c r="C68" s="23"/>
      <c r="D68" s="22"/>
      <c r="E68" s="23"/>
      <c r="F68" s="22"/>
      <c r="G68" s="22"/>
    </row>
    <row r="69" spans="1:7" x14ac:dyDescent="0.3">
      <c r="A69" s="20"/>
      <c r="B69" s="22"/>
      <c r="C69" s="23"/>
      <c r="D69" s="22"/>
      <c r="E69" s="23"/>
      <c r="F69" s="22"/>
      <c r="G69" s="22"/>
    </row>
    <row r="70" spans="1:7" x14ac:dyDescent="0.3">
      <c r="A70" s="20"/>
      <c r="B70" s="22"/>
      <c r="C70" s="23"/>
      <c r="D70" s="22"/>
      <c r="E70" s="23"/>
      <c r="F70" s="22"/>
      <c r="G70" s="22"/>
    </row>
    <row r="71" spans="1:7" x14ac:dyDescent="0.3">
      <c r="A71" s="42"/>
      <c r="B71" s="44"/>
      <c r="C71" s="44"/>
      <c r="D71" s="44"/>
      <c r="E71" s="44"/>
      <c r="F71" s="44"/>
      <c r="G71" s="43">
        <f>SUBTOTAL(109,Table9235[Unit (Minutes)])</f>
        <v>0</v>
      </c>
    </row>
    <row r="73" spans="1:7" x14ac:dyDescent="0.3">
      <c r="A73" s="125" t="s">
        <v>116</v>
      </c>
      <c r="B73" s="125"/>
      <c r="C73" s="125"/>
      <c r="D73" s="125"/>
      <c r="E73" s="125"/>
      <c r="F73" s="125"/>
      <c r="G73" s="125"/>
    </row>
    <row r="74" spans="1:7" x14ac:dyDescent="0.3">
      <c r="A74" s="126" t="s">
        <v>11</v>
      </c>
      <c r="B74" s="126"/>
      <c r="C74" s="126"/>
      <c r="D74" s="126"/>
      <c r="E74" s="126"/>
      <c r="F74" s="126"/>
      <c r="G74" s="39">
        <v>180</v>
      </c>
    </row>
    <row r="75" spans="1:7" ht="26" x14ac:dyDescent="0.3">
      <c r="A75" s="31" t="s">
        <v>6</v>
      </c>
      <c r="B75" s="31" t="s">
        <v>8</v>
      </c>
      <c r="C75" s="31" t="s">
        <v>7</v>
      </c>
      <c r="D75" s="31" t="s">
        <v>9</v>
      </c>
      <c r="E75" s="31" t="s">
        <v>21</v>
      </c>
      <c r="F75" s="31" t="s">
        <v>12</v>
      </c>
      <c r="G75" s="31" t="s">
        <v>13</v>
      </c>
    </row>
    <row r="76" spans="1:7" x14ac:dyDescent="0.3">
      <c r="A76" s="20"/>
      <c r="B76" s="22"/>
      <c r="C76" s="23"/>
      <c r="D76" s="22"/>
      <c r="E76" s="23"/>
      <c r="F76" s="22"/>
      <c r="G76" s="22"/>
    </row>
    <row r="77" spans="1:7" x14ac:dyDescent="0.3">
      <c r="A77" s="20"/>
      <c r="B77" s="22"/>
      <c r="C77" s="23"/>
      <c r="D77" s="22"/>
      <c r="E77" s="23"/>
      <c r="F77" s="22"/>
      <c r="G77" s="22"/>
    </row>
    <row r="78" spans="1:7" x14ac:dyDescent="0.3">
      <c r="A78" s="20"/>
      <c r="B78" s="22"/>
      <c r="C78" s="23"/>
      <c r="D78" s="22"/>
      <c r="E78" s="23"/>
      <c r="F78" s="22"/>
      <c r="G78" s="22"/>
    </row>
    <row r="79" spans="1:7" x14ac:dyDescent="0.3">
      <c r="A79" s="20"/>
      <c r="B79" s="22"/>
      <c r="C79" s="23"/>
      <c r="D79" s="22"/>
      <c r="E79" s="23"/>
      <c r="F79" s="22"/>
      <c r="G79" s="22"/>
    </row>
    <row r="80" spans="1:7" x14ac:dyDescent="0.3">
      <c r="A80" s="20"/>
      <c r="B80" s="22"/>
      <c r="C80" s="23"/>
      <c r="D80" s="22"/>
      <c r="E80" s="23"/>
      <c r="F80" s="22"/>
      <c r="G80" s="22"/>
    </row>
    <row r="81" spans="1:7" x14ac:dyDescent="0.3">
      <c r="A81" s="20"/>
      <c r="B81" s="22"/>
      <c r="C81" s="23"/>
      <c r="D81" s="22"/>
      <c r="E81" s="23"/>
      <c r="F81" s="22"/>
      <c r="G81" s="22"/>
    </row>
    <row r="82" spans="1:7" x14ac:dyDescent="0.3">
      <c r="A82" s="20"/>
      <c r="B82" s="22"/>
      <c r="C82" s="23"/>
      <c r="D82" s="22"/>
      <c r="E82" s="23"/>
      <c r="F82" s="22"/>
      <c r="G82" s="22"/>
    </row>
    <row r="83" spans="1:7" x14ac:dyDescent="0.3">
      <c r="A83" s="20"/>
      <c r="B83" s="22"/>
      <c r="C83" s="23"/>
      <c r="D83" s="22"/>
      <c r="E83" s="23"/>
      <c r="F83" s="22"/>
      <c r="G83" s="22"/>
    </row>
    <row r="84" spans="1:7" x14ac:dyDescent="0.3">
      <c r="A84" s="20"/>
      <c r="B84" s="22"/>
      <c r="C84" s="23"/>
      <c r="D84" s="22"/>
      <c r="E84" s="23"/>
      <c r="F84" s="22"/>
      <c r="G84" s="22"/>
    </row>
    <row r="85" spans="1:7" x14ac:dyDescent="0.3">
      <c r="A85" s="20"/>
      <c r="B85" s="22"/>
      <c r="C85" s="23"/>
      <c r="D85" s="22"/>
      <c r="E85" s="23"/>
      <c r="F85" s="22"/>
      <c r="G85" s="22"/>
    </row>
    <row r="86" spans="1:7" x14ac:dyDescent="0.3">
      <c r="A86" s="20"/>
      <c r="B86" s="22"/>
      <c r="C86" s="23"/>
      <c r="D86" s="22"/>
      <c r="E86" s="23"/>
      <c r="F86" s="22"/>
      <c r="G86" s="22"/>
    </row>
    <row r="87" spans="1:7" x14ac:dyDescent="0.3">
      <c r="A87" s="20"/>
      <c r="B87" s="22"/>
      <c r="C87" s="23"/>
      <c r="D87" s="22"/>
      <c r="E87" s="23"/>
      <c r="F87" s="22"/>
      <c r="G87" s="22"/>
    </row>
    <row r="88" spans="1:7" x14ac:dyDescent="0.3">
      <c r="A88" s="20"/>
      <c r="B88" s="22"/>
      <c r="C88" s="23"/>
      <c r="D88" s="22"/>
      <c r="E88" s="23"/>
      <c r="F88" s="22"/>
      <c r="G88" s="22"/>
    </row>
    <row r="89" spans="1:7" x14ac:dyDescent="0.3">
      <c r="A89" s="20"/>
      <c r="B89" s="22"/>
      <c r="C89" s="23"/>
      <c r="D89" s="22"/>
      <c r="E89" s="23"/>
      <c r="F89" s="22"/>
      <c r="G89" s="22"/>
    </row>
    <row r="90" spans="1:7" x14ac:dyDescent="0.3">
      <c r="A90" s="20"/>
      <c r="B90" s="22"/>
      <c r="C90" s="23"/>
      <c r="D90" s="22"/>
      <c r="E90" s="23"/>
      <c r="F90" s="22"/>
      <c r="G90" s="22"/>
    </row>
    <row r="91" spans="1:7" x14ac:dyDescent="0.3">
      <c r="A91" s="20"/>
      <c r="B91" s="22"/>
      <c r="C91" s="23"/>
      <c r="D91" s="22"/>
      <c r="E91" s="23"/>
      <c r="F91" s="22"/>
      <c r="G91" s="22"/>
    </row>
    <row r="92" spans="1:7" x14ac:dyDescent="0.3">
      <c r="A92" s="20"/>
      <c r="B92" s="22"/>
      <c r="C92" s="23"/>
      <c r="D92" s="22"/>
      <c r="E92" s="23"/>
      <c r="F92" s="22"/>
      <c r="G92" s="22"/>
    </row>
    <row r="93" spans="1:7" x14ac:dyDescent="0.3">
      <c r="A93" s="20"/>
      <c r="B93" s="22"/>
      <c r="C93" s="23"/>
      <c r="D93" s="22"/>
      <c r="E93" s="23"/>
      <c r="F93" s="22"/>
      <c r="G93" s="22"/>
    </row>
    <row r="94" spans="1:7" x14ac:dyDescent="0.3">
      <c r="A94" s="20"/>
      <c r="B94" s="22"/>
      <c r="C94" s="23"/>
      <c r="D94" s="22"/>
      <c r="E94" s="23"/>
      <c r="F94" s="22"/>
      <c r="G94" s="22"/>
    </row>
    <row r="95" spans="1:7" x14ac:dyDescent="0.3">
      <c r="A95" s="20"/>
      <c r="B95" s="22"/>
      <c r="C95" s="23"/>
      <c r="D95" s="22"/>
      <c r="E95" s="23"/>
      <c r="F95" s="22"/>
      <c r="G95" s="22"/>
    </row>
    <row r="96" spans="1:7" x14ac:dyDescent="0.3">
      <c r="A96" s="20"/>
      <c r="B96" s="22"/>
      <c r="C96" s="23"/>
      <c r="D96" s="22"/>
      <c r="E96" s="23"/>
      <c r="F96" s="22"/>
      <c r="G96" s="22"/>
    </row>
    <row r="97" spans="1:7" x14ac:dyDescent="0.3">
      <c r="A97" s="20"/>
      <c r="B97" s="22"/>
      <c r="C97" s="23"/>
      <c r="D97" s="22"/>
      <c r="E97" s="23"/>
      <c r="F97" s="22"/>
      <c r="G97" s="22"/>
    </row>
    <row r="98" spans="1:7" x14ac:dyDescent="0.3">
      <c r="A98" s="20"/>
      <c r="B98" s="22"/>
      <c r="C98" s="23"/>
      <c r="D98" s="22"/>
      <c r="E98" s="23"/>
      <c r="F98" s="22"/>
      <c r="G98" s="22"/>
    </row>
    <row r="99" spans="1:7" x14ac:dyDescent="0.3">
      <c r="A99" s="20"/>
      <c r="B99" s="22"/>
      <c r="C99" s="23"/>
      <c r="D99" s="22"/>
      <c r="E99" s="23"/>
      <c r="F99" s="22"/>
      <c r="G99" s="22"/>
    </row>
    <row r="100" spans="1:7" x14ac:dyDescent="0.3">
      <c r="A100" s="20"/>
      <c r="B100" s="22"/>
      <c r="C100" s="23"/>
      <c r="D100" s="22"/>
      <c r="E100" s="23"/>
      <c r="F100" s="22"/>
      <c r="G100" s="22"/>
    </row>
    <row r="101" spans="1:7" x14ac:dyDescent="0.3">
      <c r="A101" s="20"/>
      <c r="B101" s="22"/>
      <c r="C101" s="23"/>
      <c r="D101" s="22"/>
      <c r="E101" s="23"/>
      <c r="F101" s="22"/>
      <c r="G101" s="22"/>
    </row>
    <row r="102" spans="1:7" x14ac:dyDescent="0.3">
      <c r="A102" s="20"/>
      <c r="B102" s="22"/>
      <c r="C102" s="23"/>
      <c r="D102" s="22"/>
      <c r="E102" s="23"/>
      <c r="F102" s="22"/>
      <c r="G102" s="22"/>
    </row>
    <row r="103" spans="1:7" x14ac:dyDescent="0.3">
      <c r="A103" s="20"/>
      <c r="B103" s="22"/>
      <c r="C103" s="23"/>
      <c r="D103" s="22"/>
      <c r="E103" s="23"/>
      <c r="F103" s="22"/>
      <c r="G103" s="22"/>
    </row>
    <row r="104" spans="1:7" x14ac:dyDescent="0.3">
      <c r="A104" s="20"/>
      <c r="B104" s="22"/>
      <c r="C104" s="23"/>
      <c r="D104" s="22"/>
      <c r="E104" s="23"/>
      <c r="F104" s="22"/>
      <c r="G104" s="22"/>
    </row>
    <row r="105" spans="1:7" x14ac:dyDescent="0.3">
      <c r="A105" s="20"/>
      <c r="B105" s="22"/>
      <c r="C105" s="23"/>
      <c r="D105" s="22"/>
      <c r="E105" s="23"/>
      <c r="F105" s="22"/>
      <c r="G105" s="22"/>
    </row>
    <row r="106" spans="1:7" x14ac:dyDescent="0.3">
      <c r="A106" s="20"/>
      <c r="B106" s="22"/>
      <c r="C106" s="23"/>
      <c r="D106" s="22"/>
      <c r="E106" s="23"/>
      <c r="F106" s="22"/>
      <c r="G106" s="22"/>
    </row>
    <row r="107" spans="1:7" x14ac:dyDescent="0.3">
      <c r="A107" s="69"/>
      <c r="B107" s="70"/>
      <c r="C107" s="70"/>
      <c r="D107" s="70"/>
      <c r="E107" s="70"/>
      <c r="F107" s="70"/>
      <c r="G107" s="71">
        <f>SUBTOTAL(109,Table16296[Unit (Minutes)])</f>
        <v>0</v>
      </c>
    </row>
  </sheetData>
  <mergeCells count="7">
    <mergeCell ref="A38:F38"/>
    <mergeCell ref="A73:G73"/>
    <mergeCell ref="A74:F74"/>
    <mergeCell ref="A1:G1"/>
    <mergeCell ref="A2:G2"/>
    <mergeCell ref="A3:F3"/>
    <mergeCell ref="A37:G37"/>
  </mergeCells>
  <pageMargins left="1.17" right="0.7" top="0.24" bottom="0.28999999999999998" header="0.2" footer="0.19"/>
  <pageSetup paperSize="9" orientation="landscape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NOVEMBER 2025 Bill Summary</vt:lpstr>
      <vt:lpstr>Bill Calculation NOVEMBER 2025</vt:lpstr>
      <vt:lpstr>NOVEMBER 2025 IBD Data</vt:lpstr>
      <vt:lpstr>NOVEMBER 2025 OBD  Data</vt:lpstr>
    </vt:vector>
  </TitlesOfParts>
  <Company>Wipro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Ajeesh Lal</cp:lastModifiedBy>
  <cp:lastPrinted>2016-03-26T11:57:18Z</cp:lastPrinted>
  <dcterms:created xsi:type="dcterms:W3CDTF">2015-03-13T12:53:39Z</dcterms:created>
  <dcterms:modified xsi:type="dcterms:W3CDTF">2026-01-20T07:58:45Z</dcterms:modified>
</cp:coreProperties>
</file>